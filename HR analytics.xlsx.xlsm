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C:\Users\kamma\Downloads\"/>
    </mc:Choice>
  </mc:AlternateContent>
  <xr:revisionPtr revIDLastSave="0" documentId="13_ncr:1_{FC021839-72C0-485D-8ABC-76E7942685E5}" xr6:coauthVersionLast="47" xr6:coauthVersionMax="47" xr10:uidLastSave="{00000000-0000-0000-0000-000000000000}"/>
  <bookViews>
    <workbookView xWindow="-110" yWindow="-110" windowWidth="19420" windowHeight="11500" activeTab="1" xr2:uid="{D60B0E0B-1BF5-4A34-9E01-12A38303F11E}"/>
  </bookViews>
  <sheets>
    <sheet name="Pivot Table" sheetId="8" r:id="rId1"/>
    <sheet name="Pivot table 2" sheetId="3" r:id="rId2"/>
    <sheet name="Dashboard" sheetId="1" r:id="rId3"/>
  </sheets>
  <definedNames>
    <definedName name="_xlnm.Print_Area" localSheetId="2">Dashboard!$A$1:$AD$33</definedName>
    <definedName name="Slicer_Performance_Rating">#N/A</definedName>
    <definedName name="Slicer_Status">#N/A</definedName>
    <definedName name="Slicer_Work_Mode">#N/A</definedName>
  </definedNames>
  <calcPr calcId="191029"/>
  <pivotCaches>
    <pivotCache cacheId="2" r:id="rId4"/>
    <pivotCache cacheId="1"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7" i="8" l="1"/>
  <c r="M46" i="8"/>
  <c r="M32" i="8"/>
  <c r="M33" i="8"/>
  <c r="M34" i="8"/>
  <c r="M35" i="8"/>
  <c r="M36" i="8"/>
  <c r="M37" i="8"/>
  <c r="M38" i="8"/>
  <c r="M39" i="8"/>
  <c r="M40" i="8"/>
  <c r="M41" i="8"/>
  <c r="M42" i="8"/>
  <c r="M43" i="8"/>
  <c r="M44" i="8"/>
  <c r="M45" i="8"/>
  <c r="M31" i="8"/>
  <c r="L31" i="8" a="1"/>
  <c r="L31" i="8" s="1"/>
  <c r="G31" i="8"/>
  <c r="G31" i="8" a="1"/>
  <c r="G6" i="8" a="1"/>
  <c r="G6" i="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5927EB-0A20-4096-9B79-09063FA699F7}" keepAlive="1" name="Query - HR_Data_MNC_Data Science Lovers" description="Connection to the 'HR_Data_MNC_Data Science Lovers' query in the workbook." type="5" refreshedVersion="8" background="1" saveData="1">
    <dbPr connection="Provider=Microsoft.Mashup.OleDb.1;Data Source=$Workbook$;Location=&quot;HR_Data_MNC_Data Science Lovers&quot;;Extended Properties=&quot;&quot;" command="SELECT * FROM [HR_Data_MNC_Data Science Lov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<sst xmlns="http://schemas.openxmlformats.org/spreadsheetml/2006/main" count="207" uniqueCount="87">
  <si>
    <t>IT</t>
  </si>
  <si>
    <t>Software Engineer</t>
  </si>
  <si>
    <t>Resigned</t>
  </si>
  <si>
    <t>On-site</t>
  </si>
  <si>
    <t>Marketing</t>
  </si>
  <si>
    <t>SEO Specialist</t>
  </si>
  <si>
    <t>Active</t>
  </si>
  <si>
    <t>HR</t>
  </si>
  <si>
    <t>HR Manager</t>
  </si>
  <si>
    <t>Operations</t>
  </si>
  <si>
    <t>Logistics Coordinator</t>
  </si>
  <si>
    <t>Finance</t>
  </si>
  <si>
    <t>Finance Manager</t>
  </si>
  <si>
    <t>Sales</t>
  </si>
  <si>
    <t>Account Manager</t>
  </si>
  <si>
    <t>Remote</t>
  </si>
  <si>
    <t>Financial Analyst</t>
  </si>
  <si>
    <t>Sales Executive</t>
  </si>
  <si>
    <t>Operations Executive</t>
  </si>
  <si>
    <t>HR Executive</t>
  </si>
  <si>
    <t>Sales Director</t>
  </si>
  <si>
    <t>DevOps Engineer</t>
  </si>
  <si>
    <t>Content Strategist</t>
  </si>
  <si>
    <t>Marketing Executive</t>
  </si>
  <si>
    <t>Terminated</t>
  </si>
  <si>
    <t>R&amp;D</t>
  </si>
  <si>
    <t>Research Scientist</t>
  </si>
  <si>
    <t>Retired</t>
  </si>
  <si>
    <t>Accountant</t>
  </si>
  <si>
    <t>IT Manager</t>
  </si>
  <si>
    <t>Supply Chain Manager</t>
  </si>
  <si>
    <t>Data Analyst</t>
  </si>
  <si>
    <t>Talent Acquisition Specialist</t>
  </si>
  <si>
    <t>Product Developer</t>
  </si>
  <si>
    <t>Operations Director</t>
  </si>
  <si>
    <t>CTO</t>
  </si>
  <si>
    <t>Business Development Manager</t>
  </si>
  <si>
    <t>Lab Technician</t>
  </si>
  <si>
    <t>CFO</t>
  </si>
  <si>
    <t>Brand Manager</t>
  </si>
  <si>
    <t>HR Director</t>
  </si>
  <si>
    <t>Innovation Manager</t>
  </si>
  <si>
    <t>Row Labels</t>
  </si>
  <si>
    <t>Grand Total</t>
  </si>
  <si>
    <t>Count of Department</t>
  </si>
  <si>
    <t>Sum of Performance_Rating</t>
  </si>
  <si>
    <t>Average of Salary_INR</t>
  </si>
  <si>
    <t>Count of Employee_ID</t>
  </si>
  <si>
    <t>Average of Performance_Rating</t>
  </si>
  <si>
    <t>.</t>
  </si>
  <si>
    <t>Count of Hire_Date</t>
  </si>
  <si>
    <t>0-2</t>
  </si>
  <si>
    <t>3-5</t>
  </si>
  <si>
    <t>6-8</t>
  </si>
  <si>
    <t>9-11</t>
  </si>
  <si>
    <t>12-15</t>
  </si>
  <si>
    <t>Freshers</t>
  </si>
  <si>
    <t>Junior</t>
  </si>
  <si>
    <t>Mid-Level</t>
  </si>
  <si>
    <t>Senior</t>
  </si>
  <si>
    <t>Leadership</t>
  </si>
  <si>
    <t>2025</t>
  </si>
  <si>
    <t>2011</t>
  </si>
  <si>
    <t>2012</t>
  </si>
  <si>
    <t>2013</t>
  </si>
  <si>
    <t>2014</t>
  </si>
  <si>
    <t>2015</t>
  </si>
  <si>
    <t>2016</t>
  </si>
  <si>
    <t>2017</t>
  </si>
  <si>
    <t>2018</t>
  </si>
  <si>
    <t>2019</t>
  </si>
  <si>
    <t>2020</t>
  </si>
  <si>
    <t>2021</t>
  </si>
  <si>
    <t>2022</t>
  </si>
  <si>
    <t>2023</t>
  </si>
  <si>
    <t>2024</t>
  </si>
  <si>
    <t>Fresher</t>
  </si>
  <si>
    <t>Mid-level</t>
  </si>
  <si>
    <t>2010</t>
  </si>
  <si>
    <t>Sum of Turnover rate</t>
  </si>
  <si>
    <t>Hiring</t>
  </si>
  <si>
    <t>Turnover</t>
  </si>
  <si>
    <t xml:space="preserve">Net growth </t>
  </si>
  <si>
    <t>YOY</t>
  </si>
  <si>
    <t>Sum of Hiring</t>
  </si>
  <si>
    <t>Sum of Turnover</t>
  </si>
  <si>
    <t xml:space="preserve">Sum of Net growth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</si>
</sst>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 #,##0"/>
    <numFmt numFmtId="165" formatCode="0.0"/>
  </numFmts>
  <fonts count="2" x14ac:knownFonts="1">
    <font>
      <sz val="11"/>
      <color theme="1"/>
      <name val="Calibri"/>
      <family val="2"/>
      <scheme val="minor"/>
    </font>
    <font>
      <sz val="11"/>
      <color theme="0" tint="-0.34998626667073579"/>
      <name val="Calibri"/>
      <family val="2"/>
      <scheme val="minor"/>
    </font>
  </fonts>
  <fills count="3">
    <fill>
      <patternFill patternType="none"/>
    </fill>
    <fill>
      <patternFill patternType="gray125"/>
    </fill>
    <fill>
      <patternFill patternType="solid">
        <fgColor theme="1" tint="0.34998626667073579"/>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1" fontId="0" fillId="0" borderId="0" xfId="0" applyNumberFormat="1"/>
    <xf numFmtId="164" fontId="0" fillId="0" borderId="0" xfId="0" applyNumberFormat="1"/>
    <xf numFmtId="165" fontId="0" fillId="0" borderId="0" xfId="0" applyNumberFormat="1"/>
    <xf numFmtId="0" fontId="1" fillId="2" borderId="0" xfId="0" applyFont="1" applyFill="1"/>
  </cellXfs>
  <cellStyles count="1">
    <cellStyle name="Normal" xfId="0" builtinId="0"/>
  </cellStyles>
  <dxfs count="9">
    <dxf>
      <numFmt numFmtId="164" formatCode="&quot;₹&quot;\ #,##0"/>
    </dxf>
    <dxf>
      <numFmt numFmtId="165" formatCode="0.0"/>
    </dxf>
    <dxf>
      <font>
        <b/>
        <color theme="1"/>
      </font>
      <border>
        <bottom style="thin">
          <color theme="4"/>
        </bottom>
        <vertical/>
        <horizontal/>
      </border>
    </dxf>
    <dxf>
      <font>
        <color theme="1"/>
      </font>
      <fill>
        <patternFill patternType="solid">
          <bgColor theme="1" tint="0.499984740745262"/>
        </patternFill>
      </fill>
      <border>
        <left style="thin">
          <color theme="4"/>
        </left>
        <right style="thin">
          <color theme="4"/>
        </right>
        <top style="thin">
          <color theme="4"/>
        </top>
        <bottom style="thin">
          <color theme="4"/>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bgColor theme="2" tint="-9.9948118533890809E-2"/>
        </patternFill>
      </fill>
    </dxf>
    <dxf>
      <fill>
        <patternFill>
          <bgColor theme="9" tint="0.79998168889431442"/>
        </patternFill>
      </fill>
    </dxf>
    <dxf>
      <fill>
        <patternFill patternType="solid">
          <fgColor rgb="FFFF0000"/>
        </patternFill>
      </fill>
    </dxf>
  </dxfs>
  <tableStyles count="7" defaultTableStyle="TableStyleMedium2" defaultPivotStyle="PivotStyleLight16">
    <tableStyle name="Slicer Style 1" pivot="0" table="0" count="1" xr9:uid="{2C5776F9-C16B-4A15-86C8-C2391DF4E1DD}">
      <tableStyleElement type="wholeTable" dxfId="8"/>
    </tableStyle>
    <tableStyle name="Slicer Style 2" pivot="0" table="0" count="1" xr9:uid="{64A59AF8-E9DB-49BC-B954-AC09530253DD}"/>
    <tableStyle name="Slicer Style 3" pivot="0" table="0" count="2" xr9:uid="{8504A346-AA38-4E6A-9EF1-37742A269FF8}">
      <tableStyleElement type="wholeTable" dxfId="7"/>
    </tableStyle>
    <tableStyle name="Slicer Style 4" pivot="0" table="0" count="1" xr9:uid="{13C7E65B-B304-48BA-8E92-CF1BC5893F26}">
      <tableStyleElement type="wholeTable" dxfId="6"/>
    </tableStyle>
    <tableStyle name="Slicer Style 5" pivot="0" table="0" count="1" xr9:uid="{BA28DB37-D7B3-4207-A663-60A697607615}">
      <tableStyleElement type="wholeTable" dxfId="5"/>
    </tableStyle>
    <tableStyle name="Slicer Style 6" pivot="0" table="0" count="1" xr9:uid="{215C8F42-8DE8-4411-A567-73CFD6F27446}">
      <tableStyleElement type="wholeTable" dxfId="4"/>
    </tableStyle>
    <tableStyle name="SlicerStyleLight1 2" pivot="0" table="0" count="10" xr9:uid="{A1951202-688E-46E7-BF87-A50E387DD4AD}">
      <tableStyleElement type="wholeTable" dxfId="3"/>
      <tableStyleElement type="headerRow" dxfId="2"/>
    </tableStyle>
  </tableStyles>
  <colors>
    <mruColors>
      <color rgb="FFEA8908"/>
      <color rgb="FF4A90E2"/>
      <color rgb="FFD0021B"/>
      <color rgb="FFF5A623"/>
      <color rgb="FFF8A12D"/>
      <color rgb="FF7ED321"/>
      <color rgb="FFE67E22"/>
      <color rgb="FF4CAF50"/>
      <color rgb="FFBDC3C7"/>
      <color rgb="FFF1C40F"/>
    </mruColors>
  </colors>
  <extLst>
    <ext xmlns:x14="http://schemas.microsoft.com/office/spreadsheetml/2009/9/main" uri="{46F421CA-312F-682f-3DD2-61675219B42D}">
      <x14:dxfs count="1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theme="5"/>
            </patternFill>
          </fill>
        </dxf>
        <dxf>
          <fill>
            <patternFill>
              <bgColor theme="9" tint="0.7999816888943144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NoData" dxfId="9"/>
          </x14:slicerStyleElements>
        </x14:slicerStyle>
        <x14:slicerStyle name="Slicer Style 3">
          <x14:slicerStyleElements>
            <x14:slicerStyleElement type="selectedItemWithData" dxfId="8"/>
          </x14:slicerStyleElements>
        </x14:slicerStyle>
        <x14:slicerStyle name="Slicer Style 4"/>
        <x14:slicerStyle name="Slicer Style 5"/>
        <x14:slicerStyle name="Slicer Style 6"/>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2.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analytics.xlsx.xlsm]Pivot table 2!PivotTable2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Workforce</a:t>
            </a:r>
            <a:r>
              <a:rPr lang="en-US" sz="1200" baseline="0"/>
              <a:t> distribution</a:t>
            </a:r>
            <a:r>
              <a:rPr lang="en-US" sz="1200"/>
              <a:t> by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5A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5A8D"/>
          </a:solidFill>
          <a:ln>
            <a:noFill/>
          </a:ln>
          <a:effectLst/>
        </c:spPr>
      </c:pivotFmt>
      <c:pivotFmt>
        <c:idx val="4"/>
        <c:spPr>
          <a:solidFill>
            <a:srgbClr val="005A8D"/>
          </a:solidFill>
          <a:ln>
            <a:noFill/>
          </a:ln>
          <a:effectLst/>
        </c:spPr>
      </c:pivotFmt>
      <c:pivotFmt>
        <c:idx val="5"/>
        <c:spPr>
          <a:solidFill>
            <a:srgbClr val="005A8D"/>
          </a:solidFill>
          <a:ln>
            <a:noFill/>
          </a:ln>
          <a:effectLst/>
        </c:spPr>
      </c:pivotFmt>
      <c:pivotFmt>
        <c:idx val="6"/>
        <c:spPr>
          <a:solidFill>
            <a:srgbClr val="005A8D"/>
          </a:solidFill>
          <a:ln>
            <a:noFill/>
          </a:ln>
          <a:effectLst/>
        </c:spPr>
      </c:pivotFmt>
      <c:pivotFmt>
        <c:idx val="7"/>
        <c:spPr>
          <a:solidFill>
            <a:srgbClr val="005A8D"/>
          </a:solidFill>
          <a:ln>
            <a:noFill/>
          </a:ln>
          <a:effectLst/>
        </c:spPr>
      </c:pivotFmt>
      <c:pivotFmt>
        <c:idx val="8"/>
        <c:spPr>
          <a:solidFill>
            <a:srgbClr val="005A8D"/>
          </a:solidFill>
          <a:ln>
            <a:noFill/>
          </a:ln>
          <a:effectLst/>
        </c:spPr>
      </c:pivotFmt>
      <c:pivotFmt>
        <c:idx val="9"/>
        <c:spPr>
          <a:solidFill>
            <a:srgbClr val="005A8D"/>
          </a:solidFill>
          <a:ln>
            <a:noFill/>
          </a:ln>
          <a:effectLst/>
        </c:spPr>
      </c:pivotFmt>
    </c:pivotFmts>
    <c:plotArea>
      <c:layout>
        <c:manualLayout>
          <c:layoutTarget val="inner"/>
          <c:xMode val="edge"/>
          <c:yMode val="edge"/>
          <c:x val="0.2235051533557115"/>
          <c:y val="0.21374727848773314"/>
          <c:w val="0.67388152028273041"/>
          <c:h val="0.65256260045431902"/>
        </c:manualLayout>
      </c:layout>
      <c:barChart>
        <c:barDir val="bar"/>
        <c:grouping val="clustered"/>
        <c:varyColors val="0"/>
        <c:ser>
          <c:idx val="0"/>
          <c:order val="0"/>
          <c:tx>
            <c:strRef>
              <c:f>'Pivot table 2'!$E$3</c:f>
              <c:strCache>
                <c:ptCount val="1"/>
                <c:pt idx="0">
                  <c:v>Total</c:v>
                </c:pt>
              </c:strCache>
            </c:strRef>
          </c:tx>
          <c:spPr>
            <a:solidFill>
              <a:srgbClr val="005A8D"/>
            </a:solidFill>
            <a:ln>
              <a:noFill/>
            </a:ln>
            <a:effectLst/>
          </c:spPr>
          <c:invertIfNegative val="0"/>
          <c:cat>
            <c:strRef>
              <c:f>'Pivot table 2'!$D$4:$D$11</c:f>
              <c:strCache>
                <c:ptCount val="7"/>
                <c:pt idx="0">
                  <c:v>HR</c:v>
                </c:pt>
                <c:pt idx="1">
                  <c:v>Operations</c:v>
                </c:pt>
                <c:pt idx="2">
                  <c:v>Marketing</c:v>
                </c:pt>
                <c:pt idx="3">
                  <c:v>Sales</c:v>
                </c:pt>
                <c:pt idx="4">
                  <c:v>R&amp;D</c:v>
                </c:pt>
                <c:pt idx="5">
                  <c:v>Finance</c:v>
                </c:pt>
                <c:pt idx="6">
                  <c:v>IT</c:v>
                </c:pt>
              </c:strCache>
            </c:strRef>
          </c:cat>
          <c:val>
            <c:numRef>
              <c:f>'Pivot table 2'!$E$4:$E$11</c:f>
              <c:numCache>
                <c:formatCode>0</c:formatCode>
                <c:ptCount val="7"/>
                <c:pt idx="0">
                  <c:v>742924.58668726939</c:v>
                </c:pt>
                <c:pt idx="1">
                  <c:v>754691.12871953426</c:v>
                </c:pt>
                <c:pt idx="2">
                  <c:v>769819.76198330068</c:v>
                </c:pt>
                <c:pt idx="3">
                  <c:v>792601.1381751016</c:v>
                </c:pt>
                <c:pt idx="4">
                  <c:v>800564.06713801227</c:v>
                </c:pt>
                <c:pt idx="5">
                  <c:v>940482.5371268692</c:v>
                </c:pt>
                <c:pt idx="6">
                  <c:v>1130479.8316721052</c:v>
                </c:pt>
              </c:numCache>
            </c:numRef>
          </c:val>
          <c:extLst>
            <c:ext xmlns:c16="http://schemas.microsoft.com/office/drawing/2014/chart" uri="{C3380CC4-5D6E-409C-BE32-E72D297353CC}">
              <c16:uniqueId val="{00000000-2A72-4CC2-864A-7A7D89C8B416}"/>
            </c:ext>
          </c:extLst>
        </c:ser>
        <c:dLbls>
          <c:showLegendKey val="0"/>
          <c:showVal val="0"/>
          <c:showCatName val="0"/>
          <c:showSerName val="0"/>
          <c:showPercent val="0"/>
          <c:showBubbleSize val="0"/>
        </c:dLbls>
        <c:gapWidth val="150"/>
        <c:axId val="670537279"/>
        <c:axId val="670538239"/>
      </c:barChart>
      <c:catAx>
        <c:axId val="6705372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538239"/>
        <c:crosses val="autoZero"/>
        <c:auto val="1"/>
        <c:lblAlgn val="ctr"/>
        <c:lblOffset val="100"/>
        <c:noMultiLvlLbl val="0"/>
      </c:catAx>
      <c:valAx>
        <c:axId val="670538239"/>
        <c:scaling>
          <c:orientation val="minMax"/>
        </c:scaling>
        <c:delete val="0"/>
        <c:axPos val="b"/>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53727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analytics.xlsx.xlsm]Pivot table 2!PivotTable5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Employment</a:t>
            </a:r>
            <a:r>
              <a:rPr lang="en-US" sz="1200" baseline="0"/>
              <a:t> </a:t>
            </a:r>
            <a:r>
              <a:rPr lang="en-US" sz="1200"/>
              <a:t>Status</a:t>
            </a:r>
          </a:p>
        </c:rich>
      </c:tx>
      <c:layout>
        <c:manualLayout>
          <c:xMode val="edge"/>
          <c:yMode val="edge"/>
          <c:x val="0.26147528564888611"/>
          <c:y val="3.35664483526010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rgbClr val="C00000"/>
          </a:solidFill>
          <a:ln>
            <a:noFill/>
          </a:ln>
          <a:effectLst/>
        </c:spPr>
        <c:dLbl>
          <c:idx val="0"/>
          <c:layout>
            <c:manualLayout>
              <c:x val="6.5434383202099738E-2"/>
              <c:y val="0.1139729499511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rgbClr val="4CAF50"/>
          </a:solidFill>
          <a:ln>
            <a:noFill/>
          </a:ln>
          <a:effectLst/>
        </c:spPr>
      </c:pivotFmt>
      <c:pivotFmt>
        <c:idx val="5"/>
        <c:spPr>
          <a:solidFill>
            <a:srgbClr val="E67E22"/>
          </a:solidFill>
          <a:ln>
            <a:noFill/>
          </a:ln>
          <a:effectLst/>
        </c:spPr>
      </c:pivotFmt>
      <c:pivotFmt>
        <c:idx val="6"/>
        <c:spPr>
          <a:solidFill>
            <a:srgbClr val="FF0000"/>
          </a:solidFill>
          <a:ln>
            <a:noFill/>
          </a:ln>
          <a:effectLst/>
        </c:spPr>
      </c:pivotFmt>
    </c:pivotFmts>
    <c:plotArea>
      <c:layout/>
      <c:pieChart>
        <c:varyColors val="1"/>
        <c:ser>
          <c:idx val="0"/>
          <c:order val="0"/>
          <c:tx>
            <c:strRef>
              <c:f>'Pivot table 2'!$H$4</c:f>
              <c:strCache>
                <c:ptCount val="1"/>
                <c:pt idx="0">
                  <c:v>Total</c:v>
                </c:pt>
              </c:strCache>
            </c:strRef>
          </c:tx>
          <c:dPt>
            <c:idx val="0"/>
            <c:bubble3D val="0"/>
            <c:spPr>
              <a:solidFill>
                <a:srgbClr val="4CAF50"/>
              </a:solidFill>
              <a:ln>
                <a:noFill/>
              </a:ln>
              <a:effectLst/>
            </c:spPr>
            <c:extLst>
              <c:ext xmlns:c16="http://schemas.microsoft.com/office/drawing/2014/chart" uri="{C3380CC4-5D6E-409C-BE32-E72D297353CC}">
                <c16:uniqueId val="{00000001-53F3-461E-BEEC-8EDEB8A3D4BF}"/>
              </c:ext>
            </c:extLst>
          </c:dPt>
          <c:dPt>
            <c:idx val="1"/>
            <c:bubble3D val="0"/>
            <c:spPr>
              <a:solidFill>
                <a:srgbClr val="E67E22"/>
              </a:solidFill>
              <a:ln>
                <a:noFill/>
              </a:ln>
              <a:effectLst/>
            </c:spPr>
            <c:extLst>
              <c:ext xmlns:c16="http://schemas.microsoft.com/office/drawing/2014/chart" uri="{C3380CC4-5D6E-409C-BE32-E72D297353CC}">
                <c16:uniqueId val="{00000003-53F3-461E-BEEC-8EDEB8A3D4BF}"/>
              </c:ext>
            </c:extLst>
          </c:dPt>
          <c:dPt>
            <c:idx val="2"/>
            <c:bubble3D val="0"/>
            <c:spPr>
              <a:solidFill>
                <a:srgbClr val="C00000"/>
              </a:solidFill>
              <a:ln>
                <a:noFill/>
              </a:ln>
              <a:effectLst/>
            </c:spPr>
            <c:extLst>
              <c:ext xmlns:c16="http://schemas.microsoft.com/office/drawing/2014/chart" uri="{C3380CC4-5D6E-409C-BE32-E72D297353CC}">
                <c16:uniqueId val="{00000001-EC9F-4850-BEBF-73AC7692F6B5}"/>
              </c:ext>
            </c:extLst>
          </c:dPt>
          <c:dPt>
            <c:idx val="3"/>
            <c:bubble3D val="0"/>
            <c:spPr>
              <a:solidFill>
                <a:srgbClr val="FF0000"/>
              </a:solidFill>
              <a:ln>
                <a:noFill/>
              </a:ln>
              <a:effectLst/>
            </c:spPr>
            <c:extLst>
              <c:ext xmlns:c16="http://schemas.microsoft.com/office/drawing/2014/chart" uri="{C3380CC4-5D6E-409C-BE32-E72D297353CC}">
                <c16:uniqueId val="{00000007-53F3-461E-BEEC-8EDEB8A3D4BF}"/>
              </c:ext>
            </c:extLst>
          </c:dPt>
          <c:dLbls>
            <c:dLbl>
              <c:idx val="2"/>
              <c:layout>
                <c:manualLayout>
                  <c:x val="6.5434383202099738E-2"/>
                  <c:y val="0.113972949951177"/>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C9F-4850-BEBF-73AC7692F6B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 table 2'!$G$5:$G$9</c:f>
              <c:strCache>
                <c:ptCount val="4"/>
                <c:pt idx="0">
                  <c:v>Active</c:v>
                </c:pt>
                <c:pt idx="1">
                  <c:v>Resigned</c:v>
                </c:pt>
                <c:pt idx="2">
                  <c:v>Retired</c:v>
                </c:pt>
                <c:pt idx="3">
                  <c:v>Terminated</c:v>
                </c:pt>
              </c:strCache>
            </c:strRef>
          </c:cat>
          <c:val>
            <c:numRef>
              <c:f>'Pivot table 2'!$H$5:$H$9</c:f>
              <c:numCache>
                <c:formatCode>General</c:formatCode>
                <c:ptCount val="4"/>
                <c:pt idx="0">
                  <c:v>734439</c:v>
                </c:pt>
                <c:pt idx="1">
                  <c:v>209342</c:v>
                </c:pt>
                <c:pt idx="2">
                  <c:v>52462</c:v>
                </c:pt>
                <c:pt idx="3">
                  <c:v>52332</c:v>
                </c:pt>
              </c:numCache>
            </c:numRef>
          </c:val>
          <c:extLst>
            <c:ext xmlns:c16="http://schemas.microsoft.com/office/drawing/2014/chart" uri="{C3380CC4-5D6E-409C-BE32-E72D297353CC}">
              <c16:uniqueId val="{00000000-EC9F-4850-BEBF-73AC7692F6B5}"/>
            </c:ext>
          </c:extLst>
        </c:ser>
        <c:dLbls>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3016799519052145"/>
          <c:y val="0.5205135844494887"/>
          <c:w val="0.2365160014751613"/>
          <c:h val="0.354257518782370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analytics.xlsx.xlsm]Pivot table 2!PivotTable7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Work</a:t>
            </a:r>
            <a:r>
              <a:rPr lang="en-US" sz="1200" baseline="0"/>
              <a:t> Mode</a:t>
            </a:r>
            <a:endParaRPr lang="en-US" sz="1200"/>
          </a:p>
        </c:rich>
      </c:tx>
      <c:layout>
        <c:manualLayout>
          <c:xMode val="edge"/>
          <c:yMode val="edge"/>
          <c:x val="0.30114841485620519"/>
          <c:y val="9.35390654251441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4CAF50"/>
          </a:solidFill>
          <a:ln w="19050">
            <a:solidFill>
              <a:schemeClr val="lt1"/>
            </a:solidFill>
          </a:ln>
          <a:effectLst/>
        </c:spPr>
      </c:pivotFmt>
      <c:pivotFmt>
        <c:idx val="6"/>
        <c:spPr>
          <a:solidFill>
            <a:srgbClr val="EA8908"/>
          </a:solidFill>
          <a:ln w="19050">
            <a:solidFill>
              <a:schemeClr val="lt1"/>
            </a:solidFill>
          </a:ln>
          <a:effectLst/>
        </c:spPr>
        <c:dLbl>
          <c:idx val="0"/>
          <c:layout>
            <c:manualLayout>
              <c:x val="1.2918448522798918E-2"/>
              <c:y val="1.56484034238267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2077370585717588"/>
          <c:y val="0.26243033412995953"/>
          <c:w val="0.52433481307871954"/>
          <c:h val="0.6047700424965895"/>
        </c:manualLayout>
      </c:layout>
      <c:doughnutChart>
        <c:varyColors val="1"/>
        <c:ser>
          <c:idx val="0"/>
          <c:order val="0"/>
          <c:tx>
            <c:strRef>
              <c:f>'Pivot table 2'!$G$34</c:f>
              <c:strCache>
                <c:ptCount val="1"/>
                <c:pt idx="0">
                  <c:v>Total</c:v>
                </c:pt>
              </c:strCache>
            </c:strRef>
          </c:tx>
          <c:spPr>
            <a:solidFill>
              <a:schemeClr val="accent6"/>
            </a:solidFill>
          </c:spPr>
          <c:dPt>
            <c:idx val="0"/>
            <c:bubble3D val="0"/>
            <c:spPr>
              <a:solidFill>
                <a:srgbClr val="4CAF50"/>
              </a:solidFill>
              <a:ln w="19050">
                <a:solidFill>
                  <a:schemeClr val="lt1"/>
                </a:solidFill>
              </a:ln>
              <a:effectLst/>
            </c:spPr>
            <c:extLst>
              <c:ext xmlns:c16="http://schemas.microsoft.com/office/drawing/2014/chart" uri="{C3380CC4-5D6E-409C-BE32-E72D297353CC}">
                <c16:uniqueId val="{00000001-F977-4A1C-A769-B8FA810AF6F4}"/>
              </c:ext>
            </c:extLst>
          </c:dPt>
          <c:dPt>
            <c:idx val="1"/>
            <c:bubble3D val="0"/>
            <c:spPr>
              <a:solidFill>
                <a:srgbClr val="EA8908"/>
              </a:solidFill>
              <a:ln w="19050">
                <a:solidFill>
                  <a:schemeClr val="lt1"/>
                </a:solidFill>
              </a:ln>
              <a:effectLst/>
            </c:spPr>
            <c:extLst>
              <c:ext xmlns:c16="http://schemas.microsoft.com/office/drawing/2014/chart" uri="{C3380CC4-5D6E-409C-BE32-E72D297353CC}">
                <c16:uniqueId val="{00000003-F977-4A1C-A769-B8FA810AF6F4}"/>
              </c:ext>
            </c:extLst>
          </c:dPt>
          <c:dLbls>
            <c:dLbl>
              <c:idx val="1"/>
              <c:layout>
                <c:manualLayout>
                  <c:x val="1.2918448522798918E-2"/>
                  <c:y val="1.5648403423826767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977-4A1C-A769-B8FA810AF6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 table 2'!$F$35:$F$37</c:f>
              <c:strCache>
                <c:ptCount val="2"/>
                <c:pt idx="0">
                  <c:v>On-site</c:v>
                </c:pt>
                <c:pt idx="1">
                  <c:v>Remote</c:v>
                </c:pt>
              </c:strCache>
            </c:strRef>
          </c:cat>
          <c:val>
            <c:numRef>
              <c:f>'Pivot table 2'!$G$35:$G$37</c:f>
              <c:numCache>
                <c:formatCode>General</c:formatCode>
                <c:ptCount val="2"/>
                <c:pt idx="0">
                  <c:v>628436</c:v>
                </c:pt>
                <c:pt idx="1">
                  <c:v>420139</c:v>
                </c:pt>
              </c:numCache>
            </c:numRef>
          </c:val>
          <c:extLst>
            <c:ext xmlns:c16="http://schemas.microsoft.com/office/drawing/2014/chart" uri="{C3380CC4-5D6E-409C-BE32-E72D297353CC}">
              <c16:uniqueId val="{00000004-F977-4A1C-A769-B8FA810AF6F4}"/>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71565414723604492"/>
          <c:y val="0.68382072569759744"/>
          <c:w val="0.25944176702604171"/>
          <c:h val="0.182860838596389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analytics.xlsx.xlsm]Pivot table 2!PivotTable14</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Emp</a:t>
            </a:r>
            <a:r>
              <a:rPr lang="en-US" sz="1100" baseline="0"/>
              <a:t> experience distribution</a:t>
            </a:r>
            <a:endParaRPr lang="en-US" sz="11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4A90E2"/>
          </a:solidFill>
          <a:ln>
            <a:noFill/>
          </a:ln>
          <a:effectLst/>
        </c:spPr>
      </c:pivotFmt>
      <c:pivotFmt>
        <c:idx val="4"/>
        <c:spPr>
          <a:solidFill>
            <a:srgbClr val="7ED321"/>
          </a:solidFill>
          <a:ln>
            <a:noFill/>
          </a:ln>
          <a:effectLst/>
        </c:spPr>
      </c:pivotFmt>
      <c:pivotFmt>
        <c:idx val="5"/>
        <c:spPr>
          <a:solidFill>
            <a:srgbClr val="F5A623"/>
          </a:solidFill>
          <a:ln>
            <a:noFill/>
          </a:ln>
          <a:effectLst/>
        </c:spPr>
      </c:pivotFmt>
      <c:pivotFmt>
        <c:idx val="6"/>
        <c:spPr>
          <a:solidFill>
            <a:srgbClr val="EA8908"/>
          </a:solidFill>
          <a:ln>
            <a:noFill/>
          </a:ln>
          <a:effectLst/>
        </c:spPr>
      </c:pivotFmt>
      <c:pivotFmt>
        <c:idx val="7"/>
        <c:spPr>
          <a:solidFill>
            <a:srgbClr val="D0021B"/>
          </a:solidFill>
          <a:ln>
            <a:noFill/>
          </a:ln>
          <a:effectLst/>
        </c:spPr>
      </c:pivotFmt>
    </c:pivotFmts>
    <c:plotArea>
      <c:layout/>
      <c:barChart>
        <c:barDir val="col"/>
        <c:grouping val="clustered"/>
        <c:varyColors val="0"/>
        <c:ser>
          <c:idx val="0"/>
          <c:order val="0"/>
          <c:tx>
            <c:strRef>
              <c:f>'Pivot table 2'!$G$63</c:f>
              <c:strCache>
                <c:ptCount val="1"/>
                <c:pt idx="0">
                  <c:v>Total</c:v>
                </c:pt>
              </c:strCache>
            </c:strRef>
          </c:tx>
          <c:spPr>
            <a:solidFill>
              <a:schemeClr val="accent1"/>
            </a:solidFill>
            <a:ln>
              <a:noFill/>
            </a:ln>
            <a:effectLst/>
          </c:spPr>
          <c:invertIfNegative val="0"/>
          <c:dPt>
            <c:idx val="0"/>
            <c:invertIfNegative val="0"/>
            <c:bubble3D val="0"/>
            <c:spPr>
              <a:solidFill>
                <a:srgbClr val="4A90E2"/>
              </a:solidFill>
              <a:ln>
                <a:noFill/>
              </a:ln>
              <a:effectLst/>
            </c:spPr>
            <c:extLst>
              <c:ext xmlns:c16="http://schemas.microsoft.com/office/drawing/2014/chart" uri="{C3380CC4-5D6E-409C-BE32-E72D297353CC}">
                <c16:uniqueId val="{00000005-9643-43DF-9E1A-FF0F5C6C24ED}"/>
              </c:ext>
            </c:extLst>
          </c:dPt>
          <c:dPt>
            <c:idx val="1"/>
            <c:invertIfNegative val="0"/>
            <c:bubble3D val="0"/>
            <c:spPr>
              <a:solidFill>
                <a:srgbClr val="7ED321"/>
              </a:solidFill>
              <a:ln>
                <a:noFill/>
              </a:ln>
              <a:effectLst/>
            </c:spPr>
            <c:extLst>
              <c:ext xmlns:c16="http://schemas.microsoft.com/office/drawing/2014/chart" uri="{C3380CC4-5D6E-409C-BE32-E72D297353CC}">
                <c16:uniqueId val="{00000004-9643-43DF-9E1A-FF0F5C6C24ED}"/>
              </c:ext>
            </c:extLst>
          </c:dPt>
          <c:dPt>
            <c:idx val="2"/>
            <c:invertIfNegative val="0"/>
            <c:bubble3D val="0"/>
            <c:spPr>
              <a:solidFill>
                <a:srgbClr val="F5A623"/>
              </a:solidFill>
              <a:ln>
                <a:noFill/>
              </a:ln>
              <a:effectLst/>
            </c:spPr>
            <c:extLst>
              <c:ext xmlns:c16="http://schemas.microsoft.com/office/drawing/2014/chart" uri="{C3380CC4-5D6E-409C-BE32-E72D297353CC}">
                <c16:uniqueId val="{00000003-9643-43DF-9E1A-FF0F5C6C24ED}"/>
              </c:ext>
            </c:extLst>
          </c:dPt>
          <c:dPt>
            <c:idx val="3"/>
            <c:invertIfNegative val="0"/>
            <c:bubble3D val="0"/>
            <c:spPr>
              <a:solidFill>
                <a:srgbClr val="EA8908"/>
              </a:solidFill>
              <a:ln>
                <a:noFill/>
              </a:ln>
              <a:effectLst/>
            </c:spPr>
            <c:extLst>
              <c:ext xmlns:c16="http://schemas.microsoft.com/office/drawing/2014/chart" uri="{C3380CC4-5D6E-409C-BE32-E72D297353CC}">
                <c16:uniqueId val="{00000002-9643-43DF-9E1A-FF0F5C6C24ED}"/>
              </c:ext>
            </c:extLst>
          </c:dPt>
          <c:dPt>
            <c:idx val="4"/>
            <c:invertIfNegative val="0"/>
            <c:bubble3D val="0"/>
            <c:spPr>
              <a:solidFill>
                <a:srgbClr val="D0021B"/>
              </a:solidFill>
              <a:ln>
                <a:noFill/>
              </a:ln>
              <a:effectLst/>
            </c:spPr>
            <c:extLst>
              <c:ext xmlns:c16="http://schemas.microsoft.com/office/drawing/2014/chart" uri="{C3380CC4-5D6E-409C-BE32-E72D297353CC}">
                <c16:uniqueId val="{00000001-9643-43DF-9E1A-FF0F5C6C24ED}"/>
              </c:ext>
            </c:extLst>
          </c:dPt>
          <c:cat>
            <c:strRef>
              <c:f>'Pivot table 2'!$F$64:$F$69</c:f>
              <c:strCache>
                <c:ptCount val="5"/>
                <c:pt idx="0">
                  <c:v>Freshers</c:v>
                </c:pt>
                <c:pt idx="1">
                  <c:v>Junior</c:v>
                </c:pt>
                <c:pt idx="2">
                  <c:v>Mid-Level</c:v>
                </c:pt>
                <c:pt idx="3">
                  <c:v>Senior</c:v>
                </c:pt>
                <c:pt idx="4">
                  <c:v>Leadership</c:v>
                </c:pt>
              </c:strCache>
            </c:strRef>
          </c:cat>
          <c:val>
            <c:numRef>
              <c:f>'Pivot table 2'!$G$64:$G$69</c:f>
              <c:numCache>
                <c:formatCode>General</c:formatCode>
                <c:ptCount val="5"/>
                <c:pt idx="0">
                  <c:v>313485</c:v>
                </c:pt>
                <c:pt idx="1">
                  <c:v>293861</c:v>
                </c:pt>
                <c:pt idx="2">
                  <c:v>251417</c:v>
                </c:pt>
                <c:pt idx="3">
                  <c:v>126834</c:v>
                </c:pt>
                <c:pt idx="4">
                  <c:v>62978</c:v>
                </c:pt>
              </c:numCache>
            </c:numRef>
          </c:val>
          <c:extLst>
            <c:ext xmlns:c16="http://schemas.microsoft.com/office/drawing/2014/chart" uri="{C3380CC4-5D6E-409C-BE32-E72D297353CC}">
              <c16:uniqueId val="{00000000-9643-43DF-9E1A-FF0F5C6C24ED}"/>
            </c:ext>
          </c:extLst>
        </c:ser>
        <c:dLbls>
          <c:showLegendKey val="0"/>
          <c:showVal val="0"/>
          <c:showCatName val="0"/>
          <c:showSerName val="0"/>
          <c:showPercent val="0"/>
          <c:showBubbleSize val="0"/>
        </c:dLbls>
        <c:gapWidth val="182"/>
        <c:axId val="400052960"/>
        <c:axId val="121142240"/>
      </c:barChart>
      <c:catAx>
        <c:axId val="40005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42240"/>
        <c:crosses val="autoZero"/>
        <c:auto val="1"/>
        <c:lblAlgn val="ctr"/>
        <c:lblOffset val="100"/>
        <c:noMultiLvlLbl val="0"/>
      </c:catAx>
      <c:valAx>
        <c:axId val="1211422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5296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analytics.xlsx.xlsm]Pivot Table!PivotTable1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solidFill>
                  <a:schemeClr val="tx1">
                    <a:lumMod val="65000"/>
                    <a:lumOff val="35000"/>
                  </a:schemeClr>
                </a:solidFill>
              </a:rPr>
              <a:t>Turnover</a:t>
            </a:r>
            <a:r>
              <a:rPr lang="en-US" sz="1200" baseline="0">
                <a:solidFill>
                  <a:schemeClr val="tx1">
                    <a:lumMod val="65000"/>
                    <a:lumOff val="35000"/>
                  </a:schemeClr>
                </a:solidFill>
              </a:rPr>
              <a:t> vs. Experience</a:t>
            </a:r>
            <a:endParaRPr lang="en-US" sz="1200">
              <a:solidFill>
                <a:schemeClr val="tx1">
                  <a:lumMod val="65000"/>
                  <a:lumOff val="3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Table'!$A$4:$A$9</c:f>
              <c:strCache>
                <c:ptCount val="5"/>
                <c:pt idx="0">
                  <c:v>Fresher</c:v>
                </c:pt>
                <c:pt idx="1">
                  <c:v>Junior</c:v>
                </c:pt>
                <c:pt idx="2">
                  <c:v>Mid-level</c:v>
                </c:pt>
                <c:pt idx="3">
                  <c:v>Senior</c:v>
                </c:pt>
                <c:pt idx="4">
                  <c:v>Leadership</c:v>
                </c:pt>
              </c:strCache>
            </c:strRef>
          </c:cat>
          <c:val>
            <c:numRef>
              <c:f>'Pivot Table'!$B$4:$B$9</c:f>
              <c:numCache>
                <c:formatCode>General</c:formatCode>
                <c:ptCount val="5"/>
                <c:pt idx="0">
                  <c:v>78191</c:v>
                </c:pt>
                <c:pt idx="1">
                  <c:v>73225</c:v>
                </c:pt>
                <c:pt idx="2">
                  <c:v>62693</c:v>
                </c:pt>
                <c:pt idx="3">
                  <c:v>31809</c:v>
                </c:pt>
                <c:pt idx="4">
                  <c:v>15756</c:v>
                </c:pt>
              </c:numCache>
            </c:numRef>
          </c:val>
          <c:smooth val="0"/>
          <c:extLst>
            <c:ext xmlns:c16="http://schemas.microsoft.com/office/drawing/2014/chart" uri="{C3380CC4-5D6E-409C-BE32-E72D297353CC}">
              <c16:uniqueId val="{00000001-2BB2-44C9-A545-6F01C2265B14}"/>
            </c:ext>
          </c:extLst>
        </c:ser>
        <c:dLbls>
          <c:showLegendKey val="0"/>
          <c:showVal val="0"/>
          <c:showCatName val="0"/>
          <c:showSerName val="0"/>
          <c:showPercent val="0"/>
          <c:showBubbleSize val="0"/>
        </c:dLbls>
        <c:marker val="1"/>
        <c:smooth val="0"/>
        <c:axId val="1492856880"/>
        <c:axId val="1492874640"/>
      </c:lineChart>
      <c:catAx>
        <c:axId val="1492856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874640"/>
        <c:crosses val="autoZero"/>
        <c:auto val="1"/>
        <c:lblAlgn val="ctr"/>
        <c:lblOffset val="100"/>
        <c:noMultiLvlLbl val="0"/>
      </c:catAx>
      <c:valAx>
        <c:axId val="14928746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85688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a:t>Hiring,</a:t>
            </a:r>
            <a:r>
              <a:rPr lang="en-IN" sz="1200" baseline="0"/>
              <a:t> Turnover, and Workforce Growth</a:t>
            </a:r>
            <a:endParaRPr lang="en-IN" sz="12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'Pivot Table'!$E$30</c:f>
              <c:strCache>
                <c:ptCount val="1"/>
                <c:pt idx="0">
                  <c:v>Hiring</c:v>
                </c:pt>
              </c:strCache>
            </c:strRef>
          </c:tx>
          <c:spPr>
            <a:ln w="28575" cap="rnd">
              <a:solidFill>
                <a:schemeClr val="accent1"/>
              </a:solidFill>
              <a:round/>
            </a:ln>
            <a:effectLst/>
          </c:spPr>
          <c:marker>
            <c:symbol val="none"/>
          </c:marker>
          <c:cat>
            <c:strRef>
              <c:f>'Pivot Table'!$D$31:$D$46</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'Pivot Table'!$E$31:$E$46</c:f>
              <c:numCache>
                <c:formatCode>General</c:formatCode>
                <c:ptCount val="16"/>
                <c:pt idx="0">
                  <c:v>8153</c:v>
                </c:pt>
                <c:pt idx="1">
                  <c:v>21006</c:v>
                </c:pt>
                <c:pt idx="2">
                  <c:v>20777</c:v>
                </c:pt>
                <c:pt idx="3">
                  <c:v>20908</c:v>
                </c:pt>
                <c:pt idx="4">
                  <c:v>21069</c:v>
                </c:pt>
                <c:pt idx="5">
                  <c:v>45245</c:v>
                </c:pt>
                <c:pt idx="6">
                  <c:v>83932</c:v>
                </c:pt>
                <c:pt idx="7">
                  <c:v>84390</c:v>
                </c:pt>
                <c:pt idx="8">
                  <c:v>83440</c:v>
                </c:pt>
                <c:pt idx="9">
                  <c:v>84008</c:v>
                </c:pt>
                <c:pt idx="10">
                  <c:v>91841</c:v>
                </c:pt>
                <c:pt idx="11">
                  <c:v>104577</c:v>
                </c:pt>
                <c:pt idx="12">
                  <c:v>105442</c:v>
                </c:pt>
                <c:pt idx="13">
                  <c:v>104128</c:v>
                </c:pt>
                <c:pt idx="14">
                  <c:v>105113</c:v>
                </c:pt>
                <c:pt idx="15">
                  <c:v>64546</c:v>
                </c:pt>
              </c:numCache>
            </c:numRef>
          </c:val>
          <c:smooth val="0"/>
          <c:extLst>
            <c:ext xmlns:c16="http://schemas.microsoft.com/office/drawing/2014/chart" uri="{C3380CC4-5D6E-409C-BE32-E72D297353CC}">
              <c16:uniqueId val="{00000000-CDE2-43EE-96E1-BDC645BB5A86}"/>
            </c:ext>
          </c:extLst>
        </c:ser>
        <c:ser>
          <c:idx val="1"/>
          <c:order val="1"/>
          <c:tx>
            <c:strRef>
              <c:f>'Pivot Table'!$F$30</c:f>
              <c:strCache>
                <c:ptCount val="1"/>
                <c:pt idx="0">
                  <c:v>Turnover</c:v>
                </c:pt>
              </c:strCache>
            </c:strRef>
          </c:tx>
          <c:spPr>
            <a:ln w="28575" cap="rnd">
              <a:solidFill>
                <a:schemeClr val="accent2"/>
              </a:solidFill>
              <a:round/>
            </a:ln>
            <a:effectLst/>
          </c:spPr>
          <c:marker>
            <c:symbol val="none"/>
          </c:marker>
          <c:cat>
            <c:strRef>
              <c:f>'Pivot Table'!$D$31:$D$46</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'Pivot Table'!$F$31:$F$46</c:f>
              <c:numCache>
                <c:formatCode>General</c:formatCode>
                <c:ptCount val="16"/>
                <c:pt idx="0">
                  <c:v>2036</c:v>
                </c:pt>
                <c:pt idx="1">
                  <c:v>5227</c:v>
                </c:pt>
                <c:pt idx="2">
                  <c:v>5248</c:v>
                </c:pt>
                <c:pt idx="3">
                  <c:v>5257</c:v>
                </c:pt>
                <c:pt idx="4">
                  <c:v>5284</c:v>
                </c:pt>
                <c:pt idx="5">
                  <c:v>11261</c:v>
                </c:pt>
                <c:pt idx="6">
                  <c:v>21000</c:v>
                </c:pt>
                <c:pt idx="7">
                  <c:v>21100</c:v>
                </c:pt>
                <c:pt idx="8">
                  <c:v>20772</c:v>
                </c:pt>
                <c:pt idx="9">
                  <c:v>21063</c:v>
                </c:pt>
                <c:pt idx="10">
                  <c:v>22787</c:v>
                </c:pt>
                <c:pt idx="11">
                  <c:v>26206</c:v>
                </c:pt>
                <c:pt idx="12">
                  <c:v>26126</c:v>
                </c:pt>
                <c:pt idx="13">
                  <c:v>26005</c:v>
                </c:pt>
                <c:pt idx="14">
                  <c:v>26204</c:v>
                </c:pt>
                <c:pt idx="15">
                  <c:v>16098</c:v>
                </c:pt>
              </c:numCache>
            </c:numRef>
          </c:val>
          <c:smooth val="0"/>
          <c:extLst>
            <c:ext xmlns:c16="http://schemas.microsoft.com/office/drawing/2014/chart" uri="{C3380CC4-5D6E-409C-BE32-E72D297353CC}">
              <c16:uniqueId val="{00000001-CDE2-43EE-96E1-BDC645BB5A86}"/>
            </c:ext>
          </c:extLst>
        </c:ser>
        <c:ser>
          <c:idx val="2"/>
          <c:order val="2"/>
          <c:tx>
            <c:strRef>
              <c:f>'Pivot Table'!$G$30</c:f>
              <c:strCache>
                <c:ptCount val="1"/>
                <c:pt idx="0">
                  <c:v>Net growth </c:v>
                </c:pt>
              </c:strCache>
            </c:strRef>
          </c:tx>
          <c:spPr>
            <a:ln w="28575" cap="rnd">
              <a:solidFill>
                <a:schemeClr val="accent6"/>
              </a:solidFill>
              <a:round/>
            </a:ln>
            <a:effectLst/>
          </c:spPr>
          <c:marker>
            <c:symbol val="none"/>
          </c:marker>
          <c:cat>
            <c:strRef>
              <c:f>'Pivot Table'!$D$31:$D$46</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'Pivot Table'!$G$31:$G$46</c:f>
              <c:numCache>
                <c:formatCode>General</c:formatCode>
                <c:ptCount val="16"/>
                <c:pt idx="0">
                  <c:v>6117</c:v>
                </c:pt>
                <c:pt idx="1">
                  <c:v>15779</c:v>
                </c:pt>
                <c:pt idx="2">
                  <c:v>15529</c:v>
                </c:pt>
                <c:pt idx="3">
                  <c:v>15651</c:v>
                </c:pt>
                <c:pt idx="4">
                  <c:v>15785</c:v>
                </c:pt>
                <c:pt idx="5">
                  <c:v>33984</c:v>
                </c:pt>
                <c:pt idx="6">
                  <c:v>62932</c:v>
                </c:pt>
                <c:pt idx="7">
                  <c:v>63290</c:v>
                </c:pt>
                <c:pt idx="8">
                  <c:v>62668</c:v>
                </c:pt>
                <c:pt idx="9">
                  <c:v>62945</c:v>
                </c:pt>
                <c:pt idx="10">
                  <c:v>69054</c:v>
                </c:pt>
                <c:pt idx="11">
                  <c:v>78371</c:v>
                </c:pt>
                <c:pt idx="12">
                  <c:v>79316</c:v>
                </c:pt>
                <c:pt idx="13">
                  <c:v>78123</c:v>
                </c:pt>
                <c:pt idx="14">
                  <c:v>78909</c:v>
                </c:pt>
                <c:pt idx="15">
                  <c:v>48448</c:v>
                </c:pt>
              </c:numCache>
            </c:numRef>
          </c:val>
          <c:smooth val="0"/>
          <c:extLst>
            <c:ext xmlns:c16="http://schemas.microsoft.com/office/drawing/2014/chart" uri="{C3380CC4-5D6E-409C-BE32-E72D297353CC}">
              <c16:uniqueId val="{00000002-CDE2-43EE-96E1-BDC645BB5A86}"/>
            </c:ext>
          </c:extLst>
        </c:ser>
        <c:dLbls>
          <c:showLegendKey val="0"/>
          <c:showVal val="0"/>
          <c:showCatName val="0"/>
          <c:showSerName val="0"/>
          <c:showPercent val="0"/>
          <c:showBubbleSize val="0"/>
        </c:dLbls>
        <c:smooth val="0"/>
        <c:axId val="538776176"/>
        <c:axId val="538774736"/>
      </c:lineChart>
      <c:catAx>
        <c:axId val="53877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74736"/>
        <c:crosses val="autoZero"/>
        <c:auto val="1"/>
        <c:lblAlgn val="ctr"/>
        <c:lblOffset val="100"/>
        <c:noMultiLvlLbl val="0"/>
      </c:catAx>
      <c:valAx>
        <c:axId val="5387747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76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195988</xdr:colOff>
      <xdr:row>0</xdr:row>
      <xdr:rowOff>86234</xdr:rowOff>
    </xdr:from>
    <xdr:to>
      <xdr:col>4</xdr:col>
      <xdr:colOff>260752</xdr:colOff>
      <xdr:row>4</xdr:row>
      <xdr:rowOff>164628</xdr:rowOff>
    </xdr:to>
    <xdr:sp macro="" textlink="">
      <xdr:nvSpPr>
        <xdr:cNvPr id="2" name="Rectangle: Rounded Corners 1">
          <a:extLst>
            <a:ext uri="{FF2B5EF4-FFF2-40B4-BE49-F238E27FC236}">
              <a16:creationId xmlns:a16="http://schemas.microsoft.com/office/drawing/2014/main" id="{1054A620-5D64-69BD-82DC-A169675D28EE}"/>
            </a:ext>
          </a:extLst>
        </xdr:cNvPr>
        <xdr:cNvSpPr/>
      </xdr:nvSpPr>
      <xdr:spPr>
        <a:xfrm>
          <a:off x="195988" y="86234"/>
          <a:ext cx="2510690" cy="799629"/>
        </a:xfrm>
        <a:prstGeom prst="roundRect">
          <a:avLst/>
        </a:prstGeom>
        <a:solidFill>
          <a:schemeClr val="tx2"/>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solidFill>
                <a:schemeClr val="bg1"/>
              </a:solidFill>
            </a:rPr>
            <a:t>EMPLOYEE</a:t>
          </a:r>
          <a:r>
            <a:rPr lang="en-IN" sz="2000" baseline="0">
              <a:solidFill>
                <a:schemeClr val="bg1"/>
              </a:solidFill>
            </a:rPr>
            <a:t> TRENDS</a:t>
          </a:r>
        </a:p>
        <a:p>
          <a:pPr algn="ctr"/>
          <a:r>
            <a:rPr lang="en-IN" sz="2000" baseline="0">
              <a:solidFill>
                <a:schemeClr val="bg1"/>
              </a:solidFill>
            </a:rPr>
            <a:t>(2010-2025)</a:t>
          </a:r>
          <a:endParaRPr lang="en-IN" sz="2000">
            <a:solidFill>
              <a:schemeClr val="bg1"/>
            </a:solidFill>
          </a:endParaRPr>
        </a:p>
      </xdr:txBody>
    </xdr:sp>
    <xdr:clientData/>
  </xdr:twoCellAnchor>
  <xdr:twoCellAnchor>
    <xdr:from>
      <xdr:col>4</xdr:col>
      <xdr:colOff>353787</xdr:colOff>
      <xdr:row>0</xdr:row>
      <xdr:rowOff>78239</xdr:rowOff>
    </xdr:from>
    <xdr:to>
      <xdr:col>8</xdr:col>
      <xdr:colOff>47037</xdr:colOff>
      <xdr:row>4</xdr:row>
      <xdr:rowOff>148949</xdr:rowOff>
    </xdr:to>
    <xdr:sp macro="" textlink="">
      <xdr:nvSpPr>
        <xdr:cNvPr id="3" name="Rectangle: Rounded Corners 2">
          <a:extLst>
            <a:ext uri="{FF2B5EF4-FFF2-40B4-BE49-F238E27FC236}">
              <a16:creationId xmlns:a16="http://schemas.microsoft.com/office/drawing/2014/main" id="{8CCC072F-8011-4B66-B2F2-53A54255C45F}"/>
            </a:ext>
          </a:extLst>
        </xdr:cNvPr>
        <xdr:cNvSpPr/>
      </xdr:nvSpPr>
      <xdr:spPr>
        <a:xfrm>
          <a:off x="2799713" y="78239"/>
          <a:ext cx="2139176" cy="791945"/>
        </a:xfrm>
        <a:prstGeom prst="roundRect">
          <a:avLst/>
        </a:prstGeom>
        <a:solidFill>
          <a:srgbClr val="4A90E2"/>
        </a:solidFill>
        <a:ln>
          <a:solidFill>
            <a:schemeClr val="tx1">
              <a:lumMod val="50000"/>
              <a:lumOff val="50000"/>
            </a:schemeClr>
          </a:solidFill>
        </a:ln>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ctr"/>
          <a:r>
            <a:rPr lang="en-IN" sz="1400" b="1">
              <a:solidFill>
                <a:schemeClr val="bg1"/>
              </a:solidFill>
            </a:rPr>
            <a:t>Overall</a:t>
          </a:r>
          <a:r>
            <a:rPr lang="en-IN" sz="1400" b="1" baseline="0">
              <a:solidFill>
                <a:schemeClr val="bg1"/>
              </a:solidFill>
            </a:rPr>
            <a:t> Employees</a:t>
          </a:r>
          <a:endParaRPr lang="en-IN" sz="1400" b="1" i="0" u="none" strike="noStrike" baseline="0">
            <a:solidFill>
              <a:schemeClr val="bg1"/>
            </a:solidFill>
            <a:effectLst/>
            <a:latin typeface="+mn-lt"/>
            <a:ea typeface="+mn-ea"/>
            <a:cs typeface="+mn-cs"/>
          </a:endParaRPr>
        </a:p>
        <a:p>
          <a:pPr algn="ctr"/>
          <a:r>
            <a:rPr lang="en-IN" sz="1800" b="1" i="0" u="none" strike="noStrike">
              <a:solidFill>
                <a:schemeClr val="bg1"/>
              </a:solidFill>
              <a:effectLst/>
              <a:latin typeface="+mn-lt"/>
              <a:ea typeface="+mn-ea"/>
              <a:cs typeface="+mn-cs"/>
            </a:rPr>
            <a:t>1048575</a:t>
          </a:r>
          <a:r>
            <a:rPr lang="en-IN" sz="1600" b="1">
              <a:solidFill>
                <a:schemeClr val="bg1"/>
              </a:solidFill>
            </a:rPr>
            <a:t> </a:t>
          </a:r>
          <a:endParaRPr lang="en-IN" sz="1200" b="1" baseline="0">
            <a:solidFill>
              <a:schemeClr val="bg1"/>
            </a:solidFill>
          </a:endParaRPr>
        </a:p>
      </xdr:txBody>
    </xdr:sp>
    <xdr:clientData/>
  </xdr:twoCellAnchor>
  <xdr:twoCellAnchor>
    <xdr:from>
      <xdr:col>8</xdr:col>
      <xdr:colOff>125433</xdr:colOff>
      <xdr:row>0</xdr:row>
      <xdr:rowOff>94076</xdr:rowOff>
    </xdr:from>
    <xdr:to>
      <xdr:col>11</xdr:col>
      <xdr:colOff>512207</xdr:colOff>
      <xdr:row>4</xdr:row>
      <xdr:rowOff>148951</xdr:rowOff>
    </xdr:to>
    <xdr:sp macro="" textlink="">
      <xdr:nvSpPr>
        <xdr:cNvPr id="6" name="Rectangle: Rounded Corners 5">
          <a:extLst>
            <a:ext uri="{FF2B5EF4-FFF2-40B4-BE49-F238E27FC236}">
              <a16:creationId xmlns:a16="http://schemas.microsoft.com/office/drawing/2014/main" id="{D9596D5D-3324-4C0B-B9CF-56A844E9D80E}"/>
            </a:ext>
          </a:extLst>
        </xdr:cNvPr>
        <xdr:cNvSpPr/>
      </xdr:nvSpPr>
      <xdr:spPr>
        <a:xfrm>
          <a:off x="5017285" y="94076"/>
          <a:ext cx="2221218" cy="776110"/>
        </a:xfrm>
        <a:prstGeom prst="roundRect">
          <a:avLst/>
        </a:prstGeom>
        <a:solidFill>
          <a:srgbClr val="4A90E2"/>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baseline="0">
              <a:solidFill>
                <a:schemeClr val="bg1"/>
              </a:solidFill>
            </a:rPr>
            <a:t>Average Salary</a:t>
          </a:r>
        </a:p>
        <a:p>
          <a:pPr algn="ctr"/>
          <a:r>
            <a:rPr lang="en-IN" sz="1800" b="1" i="0" u="none" strike="noStrike">
              <a:solidFill>
                <a:schemeClr val="bg1"/>
              </a:solidFill>
              <a:effectLst/>
              <a:latin typeface="+mn-lt"/>
              <a:ea typeface="+mn-ea"/>
              <a:cs typeface="+mn-cs"/>
            </a:rPr>
            <a:t>₹ 8,96,887</a:t>
          </a:r>
          <a:r>
            <a:rPr lang="en-IN" sz="1800" b="1">
              <a:solidFill>
                <a:schemeClr val="bg1"/>
              </a:solidFill>
            </a:rPr>
            <a:t> </a:t>
          </a:r>
          <a:endParaRPr lang="en-IN" sz="1800" b="1" baseline="0">
            <a:solidFill>
              <a:schemeClr val="bg1"/>
            </a:solidFill>
          </a:endParaRPr>
        </a:p>
      </xdr:txBody>
    </xdr:sp>
    <xdr:clientData/>
  </xdr:twoCellAnchor>
  <xdr:twoCellAnchor>
    <xdr:from>
      <xdr:col>15</xdr:col>
      <xdr:colOff>344938</xdr:colOff>
      <xdr:row>0</xdr:row>
      <xdr:rowOff>105618</xdr:rowOff>
    </xdr:from>
    <xdr:to>
      <xdr:col>19</xdr:col>
      <xdr:colOff>211576</xdr:colOff>
      <xdr:row>4</xdr:row>
      <xdr:rowOff>141111</xdr:rowOff>
    </xdr:to>
    <xdr:sp macro="" textlink="">
      <xdr:nvSpPr>
        <xdr:cNvPr id="7" name="Rectangle: Rounded Corners 6">
          <a:extLst>
            <a:ext uri="{FF2B5EF4-FFF2-40B4-BE49-F238E27FC236}">
              <a16:creationId xmlns:a16="http://schemas.microsoft.com/office/drawing/2014/main" id="{EAA7EDD9-4D7F-4D14-9046-82B2EA555948}"/>
            </a:ext>
          </a:extLst>
        </xdr:cNvPr>
        <xdr:cNvSpPr/>
      </xdr:nvSpPr>
      <xdr:spPr>
        <a:xfrm>
          <a:off x="9517160" y="105618"/>
          <a:ext cx="2312564" cy="756728"/>
        </a:xfrm>
        <a:prstGeom prst="roundRect">
          <a:avLst/>
        </a:prstGeom>
        <a:solidFill>
          <a:srgbClr val="4A90E2"/>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chemeClr val="bg1"/>
              </a:solidFill>
            </a:rPr>
            <a:t>Avg Performance rating</a:t>
          </a:r>
          <a:endParaRPr lang="en-IN" sz="1400" b="1" i="0" u="none" strike="noStrike" baseline="0">
            <a:solidFill>
              <a:schemeClr val="bg1"/>
            </a:solidFill>
            <a:effectLst/>
            <a:latin typeface="+mn-lt"/>
            <a:ea typeface="+mn-ea"/>
            <a:cs typeface="+mn-cs"/>
          </a:endParaRPr>
        </a:p>
        <a:p>
          <a:pPr algn="ctr"/>
          <a:r>
            <a:rPr lang="en-IN" sz="1800" b="1" i="0" u="none" strike="noStrike">
              <a:solidFill>
                <a:schemeClr val="bg1"/>
              </a:solidFill>
              <a:effectLst/>
              <a:latin typeface="+mn-lt"/>
              <a:ea typeface="+mn-ea"/>
              <a:cs typeface="+mn-cs"/>
            </a:rPr>
            <a:t>3.0</a:t>
          </a:r>
          <a:r>
            <a:rPr lang="en-IN" sz="1600">
              <a:solidFill>
                <a:schemeClr val="bg1"/>
              </a:solidFill>
            </a:rPr>
            <a:t> </a:t>
          </a:r>
          <a:endParaRPr lang="en-IN" sz="1200" baseline="0">
            <a:solidFill>
              <a:schemeClr val="bg1"/>
            </a:solidFill>
          </a:endParaRPr>
        </a:p>
      </xdr:txBody>
    </xdr:sp>
    <xdr:clientData/>
  </xdr:twoCellAnchor>
  <xdr:twoCellAnchor>
    <xdr:from>
      <xdr:col>0</xdr:col>
      <xdr:colOff>211667</xdr:colOff>
      <xdr:row>5</xdr:row>
      <xdr:rowOff>54877</xdr:rowOff>
    </xdr:from>
    <xdr:to>
      <xdr:col>6</xdr:col>
      <xdr:colOff>52388</xdr:colOff>
      <xdr:row>20</xdr:row>
      <xdr:rowOff>54876</xdr:rowOff>
    </xdr:to>
    <xdr:graphicFrame macro="">
      <xdr:nvGraphicFramePr>
        <xdr:cNvPr id="8" name="Chart 7">
          <a:extLst>
            <a:ext uri="{FF2B5EF4-FFF2-40B4-BE49-F238E27FC236}">
              <a16:creationId xmlns:a16="http://schemas.microsoft.com/office/drawing/2014/main" id="{C0A7A7B8-81B5-41B1-80BC-9B35ADBCC6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321419</xdr:colOff>
      <xdr:row>20</xdr:row>
      <xdr:rowOff>148951</xdr:rowOff>
    </xdr:from>
    <xdr:to>
      <xdr:col>15</xdr:col>
      <xdr:colOff>125432</xdr:colOff>
      <xdr:row>36</xdr:row>
      <xdr:rowOff>94075</xdr:rowOff>
    </xdr:to>
    <xdr:graphicFrame macro="">
      <xdr:nvGraphicFramePr>
        <xdr:cNvPr id="4" name="Chart 3">
          <a:extLst>
            <a:ext uri="{FF2B5EF4-FFF2-40B4-BE49-F238E27FC236}">
              <a16:creationId xmlns:a16="http://schemas.microsoft.com/office/drawing/2014/main" id="{322B79E6-8F75-4C46-8D91-2B8D5B801C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235186</xdr:colOff>
      <xdr:row>20</xdr:row>
      <xdr:rowOff>125432</xdr:rowOff>
    </xdr:from>
    <xdr:to>
      <xdr:col>19</xdr:col>
      <xdr:colOff>384137</xdr:colOff>
      <xdr:row>36</xdr:row>
      <xdr:rowOff>101914</xdr:rowOff>
    </xdr:to>
    <xdr:graphicFrame macro="">
      <xdr:nvGraphicFramePr>
        <xdr:cNvPr id="11" name="Chart 10">
          <a:extLst>
            <a:ext uri="{FF2B5EF4-FFF2-40B4-BE49-F238E27FC236}">
              <a16:creationId xmlns:a16="http://schemas.microsoft.com/office/drawing/2014/main" id="{DEE095F6-12F0-4AB2-8C5C-00CB78EFB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19</xdr:col>
      <xdr:colOff>311676</xdr:colOff>
      <xdr:row>0</xdr:row>
      <xdr:rowOff>110831</xdr:rowOff>
    </xdr:from>
    <xdr:to>
      <xdr:col>22</xdr:col>
      <xdr:colOff>501728</xdr:colOff>
      <xdr:row>4</xdr:row>
      <xdr:rowOff>62715</xdr:rowOff>
    </xdr:to>
    <mc:AlternateContent xmlns:mc="http://schemas.openxmlformats.org/markup-compatibility/2006" xmlns:a14="http://schemas.microsoft.com/office/drawing/2010/main">
      <mc:Choice Requires="a14">
        <xdr:graphicFrame macro="">
          <xdr:nvGraphicFramePr>
            <xdr:cNvPr id="12" name="Work_Mode">
              <a:extLst>
                <a:ext uri="{FF2B5EF4-FFF2-40B4-BE49-F238E27FC236}">
                  <a16:creationId xmlns:a16="http://schemas.microsoft.com/office/drawing/2014/main" id="{A53FD578-7ED7-4595-B8AC-A98F9ADBD668}"/>
                </a:ext>
              </a:extLst>
            </xdr:cNvPr>
            <xdr:cNvGraphicFramePr/>
          </xdr:nvGraphicFramePr>
          <xdr:xfrm>
            <a:off x="0" y="0"/>
            <a:ext cx="0" cy="0"/>
          </xdr:xfrm>
          <a:graphic>
            <a:graphicData uri="http://schemas.microsoft.com/office/drawing/2010/slicer">
              <sle:slicer xmlns:sle="http://schemas.microsoft.com/office/drawing/2010/slicer" name="Work_Mode"/>
            </a:graphicData>
          </a:graphic>
        </xdr:graphicFrame>
      </mc:Choice>
      <mc:Fallback xmlns="">
        <xdr:sp macro="" textlink="">
          <xdr:nvSpPr>
            <xdr:cNvPr id="0" name=""/>
            <xdr:cNvSpPr>
              <a:spLocks noTextEdit="1"/>
            </xdr:cNvSpPr>
          </xdr:nvSpPr>
          <xdr:spPr>
            <a:xfrm>
              <a:off x="11929824" y="110831"/>
              <a:ext cx="2071533" cy="6731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470371</xdr:colOff>
      <xdr:row>20</xdr:row>
      <xdr:rowOff>117592</xdr:rowOff>
    </xdr:from>
    <xdr:to>
      <xdr:col>22</xdr:col>
      <xdr:colOff>501728</xdr:colOff>
      <xdr:row>36</xdr:row>
      <xdr:rowOff>109753</xdr:rowOff>
    </xdr:to>
    <mc:AlternateContent xmlns:mc="http://schemas.openxmlformats.org/markup-compatibility/2006" xmlns:a14="http://schemas.microsoft.com/office/drawing/2010/main">
      <mc:Choice Requires="a14">
        <xdr:graphicFrame macro="">
          <xdr:nvGraphicFramePr>
            <xdr:cNvPr id="14" name="Status">
              <a:extLst>
                <a:ext uri="{FF2B5EF4-FFF2-40B4-BE49-F238E27FC236}">
                  <a16:creationId xmlns:a16="http://schemas.microsoft.com/office/drawing/2014/main" id="{45289990-D102-4D25-9662-7486B9B26083}"/>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2088519" y="3723765"/>
              <a:ext cx="1903398" cy="2877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580125</xdr:colOff>
      <xdr:row>0</xdr:row>
      <xdr:rowOff>102213</xdr:rowOff>
    </xdr:from>
    <xdr:to>
      <xdr:col>15</xdr:col>
      <xdr:colOff>292543</xdr:colOff>
      <xdr:row>4</xdr:row>
      <xdr:rowOff>156789</xdr:rowOff>
    </xdr:to>
    <xdr:sp macro="" textlink="">
      <xdr:nvSpPr>
        <xdr:cNvPr id="5" name="Rectangle: Rounded Corners 4">
          <a:extLst>
            <a:ext uri="{FF2B5EF4-FFF2-40B4-BE49-F238E27FC236}">
              <a16:creationId xmlns:a16="http://schemas.microsoft.com/office/drawing/2014/main" id="{7F7769E2-C439-46A7-BF7D-C15D0DBFD706}"/>
            </a:ext>
          </a:extLst>
        </xdr:cNvPr>
        <xdr:cNvSpPr/>
      </xdr:nvSpPr>
      <xdr:spPr>
        <a:xfrm>
          <a:off x="7306421" y="102213"/>
          <a:ext cx="2158344" cy="775811"/>
        </a:xfrm>
        <a:prstGeom prst="roundRect">
          <a:avLst/>
        </a:prstGeom>
        <a:solidFill>
          <a:srgbClr val="E74C3C"/>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baseline="0">
              <a:solidFill>
                <a:schemeClr val="bg1"/>
              </a:solidFill>
            </a:rPr>
            <a:t>Emp Turnover ratio</a:t>
          </a:r>
        </a:p>
        <a:p>
          <a:pPr algn="ctr"/>
          <a:r>
            <a:rPr lang="en-IN" sz="1800" b="1" i="0" u="none" strike="noStrike">
              <a:solidFill>
                <a:schemeClr val="bg1"/>
              </a:solidFill>
              <a:effectLst/>
              <a:latin typeface="+mn-lt"/>
              <a:ea typeface="+mn-ea"/>
              <a:cs typeface="+mn-cs"/>
            </a:rPr>
            <a:t>25%</a:t>
          </a:r>
          <a:r>
            <a:rPr lang="en-IN" sz="1800" b="1">
              <a:solidFill>
                <a:schemeClr val="bg1"/>
              </a:solidFill>
            </a:rPr>
            <a:t> </a:t>
          </a:r>
          <a:r>
            <a:rPr lang="en-IN" sz="1400" b="1">
              <a:solidFill>
                <a:schemeClr val="bg1"/>
              </a:solidFill>
              <a:latin typeface="Calibri" panose="020F0502020204030204" pitchFamily="34" charset="0"/>
              <a:ea typeface="Calibri" panose="020F0502020204030204" pitchFamily="34" charset="0"/>
              <a:cs typeface="Calibri" panose="020F0502020204030204" pitchFamily="34" charset="0"/>
            </a:rPr>
            <a:t>↑</a:t>
          </a:r>
          <a:endParaRPr lang="en-IN" sz="1400" b="1" baseline="0">
            <a:solidFill>
              <a:schemeClr val="bg1"/>
            </a:solidFill>
          </a:endParaRPr>
        </a:p>
      </xdr:txBody>
    </xdr:sp>
    <xdr:clientData/>
  </xdr:twoCellAnchor>
  <xdr:twoCellAnchor editAs="oneCell">
    <xdr:from>
      <xdr:col>19</xdr:col>
      <xdr:colOff>509568</xdr:colOff>
      <xdr:row>5</xdr:row>
      <xdr:rowOff>38202</xdr:rowOff>
    </xdr:from>
    <xdr:to>
      <xdr:col>22</xdr:col>
      <xdr:colOff>501728</xdr:colOff>
      <xdr:row>19</xdr:row>
      <xdr:rowOff>172469</xdr:rowOff>
    </xdr:to>
    <mc:AlternateContent xmlns:mc="http://schemas.openxmlformats.org/markup-compatibility/2006" xmlns:a14="http://schemas.microsoft.com/office/drawing/2010/main">
      <mc:Choice Requires="a14">
        <xdr:graphicFrame macro="">
          <xdr:nvGraphicFramePr>
            <xdr:cNvPr id="16" name="Performance_Rating">
              <a:extLst>
                <a:ext uri="{FF2B5EF4-FFF2-40B4-BE49-F238E27FC236}">
                  <a16:creationId xmlns:a16="http://schemas.microsoft.com/office/drawing/2014/main" id="{3744AED1-460B-EAE0-E081-B6C0E738436E}"/>
                </a:ext>
              </a:extLst>
            </xdr:cNvPr>
            <xdr:cNvGraphicFramePr/>
          </xdr:nvGraphicFramePr>
          <xdr:xfrm>
            <a:off x="0" y="0"/>
            <a:ext cx="0" cy="0"/>
          </xdr:xfrm>
          <a:graphic>
            <a:graphicData uri="http://schemas.microsoft.com/office/drawing/2010/slicer">
              <sle:slicer xmlns:sle="http://schemas.microsoft.com/office/drawing/2010/slicer" name="Performance_Rating"/>
            </a:graphicData>
          </a:graphic>
        </xdr:graphicFrame>
      </mc:Choice>
      <mc:Fallback xmlns="">
        <xdr:sp macro="" textlink="">
          <xdr:nvSpPr>
            <xdr:cNvPr id="0" name=""/>
            <xdr:cNvSpPr>
              <a:spLocks noTextEdit="1"/>
            </xdr:cNvSpPr>
          </xdr:nvSpPr>
          <xdr:spPr>
            <a:xfrm>
              <a:off x="12127716" y="939745"/>
              <a:ext cx="1810925" cy="26585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148951</xdr:colOff>
      <xdr:row>5</xdr:row>
      <xdr:rowOff>54877</xdr:rowOff>
    </xdr:from>
    <xdr:to>
      <xdr:col>19</xdr:col>
      <xdr:colOff>384135</xdr:colOff>
      <xdr:row>20</xdr:row>
      <xdr:rowOff>31358</xdr:rowOff>
    </xdr:to>
    <xdr:graphicFrame macro="">
      <xdr:nvGraphicFramePr>
        <xdr:cNvPr id="13" name="Chart 12">
          <a:extLst>
            <a:ext uri="{FF2B5EF4-FFF2-40B4-BE49-F238E27FC236}">
              <a16:creationId xmlns:a16="http://schemas.microsoft.com/office/drawing/2014/main" id="{256E8975-89DA-477D-BBAE-C55110151F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148950</xdr:colOff>
      <xdr:row>5</xdr:row>
      <xdr:rowOff>62716</xdr:rowOff>
    </xdr:from>
    <xdr:to>
      <xdr:col>13</xdr:col>
      <xdr:colOff>78395</xdr:colOff>
      <xdr:row>20</xdr:row>
      <xdr:rowOff>54876</xdr:rowOff>
    </xdr:to>
    <xdr:graphicFrame macro="">
      <xdr:nvGraphicFramePr>
        <xdr:cNvPr id="9" name="Chart 8">
          <a:extLst>
            <a:ext uri="{FF2B5EF4-FFF2-40B4-BE49-F238E27FC236}">
              <a16:creationId xmlns:a16="http://schemas.microsoft.com/office/drawing/2014/main" id="{9B0D080D-ED5E-48DA-9F7F-89A2BE34CB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211667</xdr:colOff>
      <xdr:row>20</xdr:row>
      <xdr:rowOff>148950</xdr:rowOff>
    </xdr:from>
    <xdr:to>
      <xdr:col>9</xdr:col>
      <xdr:colOff>219506</xdr:colOff>
      <xdr:row>36</xdr:row>
      <xdr:rowOff>101914</xdr:rowOff>
    </xdr:to>
    <xdr:graphicFrame macro="">
      <xdr:nvGraphicFramePr>
        <xdr:cNvPr id="17" name="Chart 16">
          <a:extLst>
            <a:ext uri="{FF2B5EF4-FFF2-40B4-BE49-F238E27FC236}">
              <a16:creationId xmlns:a16="http://schemas.microsoft.com/office/drawing/2014/main" id="{C1ECAD20-564C-46A5-A0D1-C0D0430359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khil K" refreshedDate="45905.533566319442" createdVersion="8" refreshedVersion="8" minRefreshableVersion="3" recordCount="1048575" xr:uid="{5868D354-B0DC-4FA3-AA9E-44BF979185D4}">
  <cacheSource type="worksheet">
    <worksheetSource name="HR_Data_MNC_Data_Science_Lovers"/>
  </cacheSource>
  <cacheFields count="18">
    <cacheField name="Employee_ID" numFmtId="0">
      <sharedItems/>
    </cacheField>
    <cacheField name="Full_Name" numFmtId="0">
      <sharedItems/>
    </cacheField>
    <cacheField name="Department" numFmtId="0">
      <sharedItems count="7">
        <s v="IT"/>
        <s v="Marketing"/>
        <s v="HR"/>
        <s v="Operations"/>
        <s v="Finance"/>
        <s v="Sales"/>
        <s v="R&amp;D"/>
      </sharedItems>
    </cacheField>
    <cacheField name="Job_Title" numFmtId="0">
      <sharedItems count="29">
        <s v="Software Engineer"/>
        <s v="SEO Specialist"/>
        <s v="HR Manager"/>
        <s v="Logistics Coordinator"/>
        <s v="Finance Manager"/>
        <s v="Account Manager"/>
        <s v="Financial Analyst"/>
        <s v="Sales Executive"/>
        <s v="Operations Executive"/>
        <s v="HR Executive"/>
        <s v="Sales Director"/>
        <s v="DevOps Engineer"/>
        <s v="Content Strategist"/>
        <s v="Marketing Executive"/>
        <s v="Research Scientist"/>
        <s v="Accountant"/>
        <s v="IT Manager"/>
        <s v="Supply Chain Manager"/>
        <s v="Data Analyst"/>
        <s v="Talent Acquisition Specialist"/>
        <s v="Product Developer"/>
        <s v="Operations Director"/>
        <s v="CTO"/>
        <s v="Business Development Manager"/>
        <s v="Lab Technician"/>
        <s v="CFO"/>
        <s v="Brand Manager"/>
        <s v="HR Director"/>
        <s v="Innovation Manager"/>
      </sharedItems>
    </cacheField>
    <cacheField name="Hire_Date" numFmtId="14">
      <sharedItems containsSemiMixedTypes="0" containsNonDate="0" containsDate="1" containsString="0" minDate="2010-08-14T00:00:00" maxDate="2025-08-14T00:00:00" count="5479">
        <d v="2011-08-10T00:00:00"/>
        <d v="2018-03-02T00:00:00"/>
        <d v="2023-03-20T00:00:00"/>
        <d v="2023-10-12T00:00:00"/>
        <d v="2024-12-09T00:00:00"/>
        <d v="2021-02-23T00:00:00"/>
        <d v="2016-04-04T00:00:00"/>
        <d v="2020-04-04T00:00:00"/>
        <d v="2018-05-29T00:00:00"/>
        <d v="2015-10-08T00:00:00"/>
        <d v="2018-10-27T00:00:00"/>
        <d v="2024-07-02T00:00:00"/>
        <d v="2011-05-03T00:00:00"/>
        <d v="2020-08-24T00:00:00"/>
        <d v="2016-01-14T00:00:00"/>
        <d v="2021-07-19T00:00:00"/>
        <d v="2025-05-13T00:00:00"/>
        <d v="2016-09-17T00:00:00"/>
        <d v="2025-04-05T00:00:00"/>
        <d v="2022-04-01T00:00:00"/>
        <d v="2017-10-12T00:00:00"/>
        <d v="2015-07-07T00:00:00"/>
        <d v="2017-10-30T00:00:00"/>
        <d v="2022-05-17T00:00:00"/>
        <d v="2021-07-31T00:00:00"/>
        <d v="2025-01-15T00:00:00"/>
        <d v="2019-09-12T00:00:00"/>
        <d v="2020-11-17T00:00:00"/>
        <d v="2023-08-04T00:00:00"/>
        <d v="2021-08-15T00:00:00"/>
        <d v="2019-02-13T00:00:00"/>
        <d v="2020-10-21T00:00:00"/>
        <d v="2021-02-14T00:00:00"/>
        <d v="2020-04-25T00:00:00"/>
        <d v="2023-07-26T00:00:00"/>
        <d v="2024-04-05T00:00:00"/>
        <d v="2024-12-11T00:00:00"/>
        <d v="2019-03-14T00:00:00"/>
        <d v="2021-10-20T00:00:00"/>
        <d v="2021-05-25T00:00:00"/>
        <d v="2011-01-29T00:00:00"/>
        <d v="2015-12-31T00:00:00"/>
        <d v="2019-03-25T00:00:00"/>
        <d v="2025-02-22T00:00:00"/>
        <d v="2017-12-08T00:00:00"/>
        <d v="2022-03-24T00:00:00"/>
        <d v="2011-06-15T00:00:00"/>
        <d v="2024-01-31T00:00:00"/>
        <d v="2015-10-15T00:00:00"/>
        <d v="2024-09-25T00:00:00"/>
        <d v="2011-08-11T00:00:00"/>
        <d v="2017-05-14T00:00:00"/>
        <d v="2022-06-08T00:00:00"/>
        <d v="2017-11-23T00:00:00"/>
        <d v="2024-04-12T00:00:00"/>
        <d v="2024-02-21T00:00:00"/>
        <d v="2020-01-17T00:00:00"/>
        <d v="2023-11-19T00:00:00"/>
        <d v="2015-10-26T00:00:00"/>
        <d v="2016-08-09T00:00:00"/>
        <d v="2025-03-31T00:00:00"/>
        <d v="2022-02-10T00:00:00"/>
        <d v="2015-11-08T00:00:00"/>
        <d v="2023-11-03T00:00:00"/>
        <d v="2024-08-15T00:00:00"/>
        <d v="2016-09-20T00:00:00"/>
        <d v="2016-09-02T00:00:00"/>
        <d v="2022-07-18T00:00:00"/>
        <d v="2014-07-23T00:00:00"/>
        <d v="2016-07-10T00:00:00"/>
        <d v="2018-10-11T00:00:00"/>
        <d v="2023-12-11T00:00:00"/>
        <d v="2025-05-18T00:00:00"/>
        <d v="2019-06-23T00:00:00"/>
        <d v="2021-08-28T00:00:00"/>
        <d v="2015-10-28T00:00:00"/>
        <d v="2024-02-16T00:00:00"/>
        <d v="2016-05-19T00:00:00"/>
        <d v="2018-06-26T00:00:00"/>
        <d v="2018-09-05T00:00:00"/>
        <d v="2025-06-27T00:00:00"/>
        <d v="2015-08-29T00:00:00"/>
        <d v="2020-03-29T00:00:00"/>
        <d v="2025-07-22T00:00:00"/>
        <d v="2021-03-28T00:00:00"/>
        <d v="2016-08-21T00:00:00"/>
        <d v="2013-09-07T00:00:00"/>
        <d v="2021-12-04T00:00:00"/>
        <d v="2018-07-11T00:00:00"/>
        <d v="2023-11-26T00:00:00"/>
        <d v="2025-01-24T00:00:00"/>
        <d v="2018-04-28T00:00:00"/>
        <d v="2012-08-29T00:00:00"/>
        <d v="2017-06-17T00:00:00"/>
        <d v="2018-01-25T00:00:00"/>
        <d v="2018-06-25T00:00:00"/>
        <d v="2012-03-31T00:00:00"/>
        <d v="2018-07-17T00:00:00"/>
        <d v="2025-02-18T00:00:00"/>
        <d v="2023-02-02T00:00:00"/>
        <d v="2017-07-12T00:00:00"/>
        <d v="2021-04-16T00:00:00"/>
        <d v="2023-01-10T00:00:00"/>
        <d v="2021-12-10T00:00:00"/>
        <d v="2020-06-13T00:00:00"/>
        <d v="2021-01-08T00:00:00"/>
        <d v="2023-11-13T00:00:00"/>
        <d v="2018-06-02T00:00:00"/>
        <d v="2012-10-29T00:00:00"/>
        <d v="2022-08-30T00:00:00"/>
        <d v="2024-05-28T00:00:00"/>
        <d v="2018-09-01T00:00:00"/>
        <d v="2024-04-08T00:00:00"/>
        <d v="2013-02-09T00:00:00"/>
        <d v="2024-12-20T00:00:00"/>
        <d v="2011-06-05T00:00:00"/>
        <d v="2020-02-25T00:00:00"/>
        <d v="2020-07-13T00:00:00"/>
        <d v="2024-02-22T00:00:00"/>
        <d v="2017-08-14T00:00:00"/>
        <d v="2022-08-08T00:00:00"/>
        <d v="2013-10-26T00:00:00"/>
        <d v="2022-02-25T00:00:00"/>
        <d v="2020-08-29T00:00:00"/>
        <d v="2020-09-23T00:00:00"/>
        <d v="2019-01-04T00:00:00"/>
        <d v="2016-12-03T00:00:00"/>
        <d v="2023-06-19T00:00:00"/>
        <d v="2017-03-31T00:00:00"/>
        <d v="2021-11-29T00:00:00"/>
        <d v="2021-09-18T00:00:00"/>
        <d v="2015-08-14T00:00:00"/>
        <d v="2023-04-13T00:00:00"/>
        <d v="2022-01-31T00:00:00"/>
        <d v="2014-08-25T00:00:00"/>
        <d v="2017-12-05T00:00:00"/>
        <d v="2017-07-20T00:00:00"/>
        <d v="2020-11-27T00:00:00"/>
        <d v="2015-10-23T00:00:00"/>
        <d v="2012-12-08T00:00:00"/>
        <d v="2024-09-16T00:00:00"/>
        <d v="2021-07-12T00:00:00"/>
        <d v="2019-03-09T00:00:00"/>
        <d v="2017-04-14T00:00:00"/>
        <d v="2020-05-05T00:00:00"/>
        <d v="2023-09-20T00:00:00"/>
        <d v="2023-09-07T00:00:00"/>
        <d v="2022-10-19T00:00:00"/>
        <d v="2024-04-30T00:00:00"/>
        <d v="2013-09-30T00:00:00"/>
        <d v="2024-05-31T00:00:00"/>
        <d v="2011-01-05T00:00:00"/>
        <d v="2019-11-03T00:00:00"/>
        <d v="2011-04-11T00:00:00"/>
        <d v="2018-05-24T00:00:00"/>
        <d v="2018-09-22T00:00:00"/>
        <d v="2017-09-05T00:00:00"/>
        <d v="2017-03-13T00:00:00"/>
        <d v="2016-02-28T00:00:00"/>
        <d v="2019-02-01T00:00:00"/>
        <d v="2016-05-20T00:00:00"/>
        <d v="2023-05-26T00:00:00"/>
        <d v="2016-03-30T00:00:00"/>
        <d v="2017-01-17T00:00:00"/>
        <d v="2022-02-27T00:00:00"/>
        <d v="2017-01-15T00:00:00"/>
        <d v="2023-06-08T00:00:00"/>
        <d v="2020-10-01T00:00:00"/>
        <d v="2019-07-27T00:00:00"/>
        <d v="2022-02-18T00:00:00"/>
        <d v="2025-04-24T00:00:00"/>
        <d v="2023-02-05T00:00:00"/>
        <d v="2025-03-29T00:00:00"/>
        <d v="2017-02-08T00:00:00"/>
        <d v="2015-12-28T00:00:00"/>
        <d v="2020-12-01T00:00:00"/>
        <d v="2015-09-08T00:00:00"/>
        <d v="2024-11-25T00:00:00"/>
        <d v="2011-09-07T00:00:00"/>
        <d v="2024-03-24T00:00:00"/>
        <d v="2020-06-04T00:00:00"/>
        <d v="2022-03-30T00:00:00"/>
        <d v="2025-01-19T00:00:00"/>
        <d v="2016-09-30T00:00:00"/>
        <d v="2021-05-18T00:00:00"/>
        <d v="2015-12-09T00:00:00"/>
        <d v="2013-04-27T00:00:00"/>
        <d v="2021-11-08T00:00:00"/>
        <d v="2014-12-24T00:00:00"/>
        <d v="2019-04-20T00:00:00"/>
        <d v="2020-04-16T00:00:00"/>
        <d v="2020-04-29T00:00:00"/>
        <d v="2020-04-14T00:00:00"/>
        <d v="2013-12-10T00:00:00"/>
        <d v="2017-01-10T00:00:00"/>
        <d v="2019-03-23T00:00:00"/>
        <d v="2022-03-27T00:00:00"/>
        <d v="2025-03-10T00:00:00"/>
        <d v="2015-08-24T00:00:00"/>
        <d v="2021-04-14T00:00:00"/>
        <d v="2020-06-12T00:00:00"/>
        <d v="2023-10-18T00:00:00"/>
        <d v="2020-11-23T00:00:00"/>
        <d v="2017-03-03T00:00:00"/>
        <d v="2013-01-06T00:00:00"/>
        <d v="2014-09-13T00:00:00"/>
        <d v="2025-03-23T00:00:00"/>
        <d v="2020-02-22T00:00:00"/>
        <d v="2021-02-01T00:00:00"/>
        <d v="2023-01-08T00:00:00"/>
        <d v="2020-06-30T00:00:00"/>
        <d v="2016-08-30T00:00:00"/>
        <d v="2015-11-06T00:00:00"/>
        <d v="2018-10-17T00:00:00"/>
        <d v="2013-06-14T00:00:00"/>
        <d v="2021-05-09T00:00:00"/>
        <d v="2013-03-08T00:00:00"/>
        <d v="2017-09-03T00:00:00"/>
        <d v="2017-11-16T00:00:00"/>
        <d v="2022-05-04T00:00:00"/>
        <d v="2023-04-03T00:00:00"/>
        <d v="2024-05-04T00:00:00"/>
        <d v="2019-12-15T00:00:00"/>
        <d v="2023-06-05T00:00:00"/>
        <d v="2021-03-13T00:00:00"/>
        <d v="2018-01-12T00:00:00"/>
        <d v="2022-03-21T00:00:00"/>
        <d v="2022-12-21T00:00:00"/>
        <d v="2022-06-30T00:00:00"/>
        <d v="2023-07-19T00:00:00"/>
        <d v="2022-11-22T00:00:00"/>
        <d v="2022-03-12T00:00:00"/>
        <d v="2019-10-07T00:00:00"/>
        <d v="2018-12-10T00:00:00"/>
        <d v="2016-08-04T00:00:00"/>
        <d v="2023-09-17T00:00:00"/>
        <d v="2019-01-19T00:00:00"/>
        <d v="2024-05-29T00:00:00"/>
        <d v="2019-02-27T00:00:00"/>
        <d v="2019-01-26T00:00:00"/>
        <d v="2022-07-07T00:00:00"/>
        <d v="2015-07-31T00:00:00"/>
        <d v="2016-04-05T00:00:00"/>
        <d v="2017-03-12T00:00:00"/>
        <d v="2015-11-09T00:00:00"/>
        <d v="2021-03-07T00:00:00"/>
        <d v="2017-05-30T00:00:00"/>
        <d v="2022-09-14T00:00:00"/>
        <d v="2012-03-13T00:00:00"/>
        <d v="2015-09-10T00:00:00"/>
        <d v="2017-05-16T00:00:00"/>
        <d v="2023-09-27T00:00:00"/>
        <d v="2018-03-10T00:00:00"/>
        <d v="2019-08-04T00:00:00"/>
        <d v="2012-07-22T00:00:00"/>
        <d v="2019-06-24T00:00:00"/>
        <d v="2017-05-29T00:00:00"/>
        <d v="2013-12-24T00:00:00"/>
        <d v="2018-05-27T00:00:00"/>
        <d v="2024-02-26T00:00:00"/>
        <d v="2023-08-11T00:00:00"/>
        <d v="2018-05-23T00:00:00"/>
        <d v="2016-03-31T00:00:00"/>
        <d v="2025-02-11T00:00:00"/>
        <d v="2022-09-02T00:00:00"/>
        <d v="2012-08-24T00:00:00"/>
        <d v="2018-03-14T00:00:00"/>
        <d v="2017-08-12T00:00:00"/>
        <d v="2024-04-01T00:00:00"/>
        <d v="2024-08-22T00:00:00"/>
        <d v="2023-10-28T00:00:00"/>
        <d v="2021-11-16T00:00:00"/>
        <d v="2020-08-16T00:00:00"/>
        <d v="2024-10-25T00:00:00"/>
        <d v="2023-05-09T00:00:00"/>
        <d v="2019-05-20T00:00:00"/>
        <d v="2020-01-16T00:00:00"/>
        <d v="2025-07-19T00:00:00"/>
        <d v="2023-12-12T00:00:00"/>
        <d v="2010-09-10T00:00:00"/>
        <d v="2013-11-27T00:00:00"/>
        <d v="2020-03-11T00:00:00"/>
        <d v="2023-11-14T00:00:00"/>
        <d v="2021-07-14T00:00:00"/>
        <d v="2015-10-27T00:00:00"/>
        <d v="2022-03-19T00:00:00"/>
        <d v="2022-08-29T00:00:00"/>
        <d v="2022-05-12T00:00:00"/>
        <d v="2011-05-07T00:00:00"/>
        <d v="2025-03-05T00:00:00"/>
        <d v="2022-06-11T00:00:00"/>
        <d v="2011-03-23T00:00:00"/>
        <d v="2022-12-01T00:00:00"/>
        <d v="2014-10-15T00:00:00"/>
        <d v="2016-12-15T00:00:00"/>
        <d v="2020-04-24T00:00:00"/>
        <d v="2024-11-11T00:00:00"/>
        <d v="2011-10-16T00:00:00"/>
        <d v="2022-08-20T00:00:00"/>
        <d v="2018-01-30T00:00:00"/>
        <d v="2024-11-06T00:00:00"/>
        <d v="2020-03-07T00:00:00"/>
        <d v="2019-10-31T00:00:00"/>
        <d v="2022-10-12T00:00:00"/>
        <d v="2020-05-22T00:00:00"/>
        <d v="2018-01-24T00:00:00"/>
        <d v="2017-10-11T00:00:00"/>
        <d v="2018-11-06T00:00:00"/>
        <d v="2018-07-29T00:00:00"/>
        <d v="2024-07-01T00:00:00"/>
        <d v="2020-11-04T00:00:00"/>
        <d v="2024-04-17T00:00:00"/>
        <d v="2016-06-28T00:00:00"/>
        <d v="2020-06-23T00:00:00"/>
        <d v="2025-06-11T00:00:00"/>
        <d v="2021-07-02T00:00:00"/>
        <d v="2022-11-21T00:00:00"/>
        <d v="2017-12-17T00:00:00"/>
        <d v="2013-02-25T00:00:00"/>
        <d v="2018-08-18T00:00:00"/>
        <d v="2022-09-04T00:00:00"/>
        <d v="2019-12-02T00:00:00"/>
        <d v="2016-08-31T00:00:00"/>
        <d v="2023-10-06T00:00:00"/>
        <d v="2022-05-11T00:00:00"/>
        <d v="2024-03-25T00:00:00"/>
        <d v="2019-08-31T00:00:00"/>
        <d v="2022-01-18T00:00:00"/>
        <d v="2017-02-16T00:00:00"/>
        <d v="2019-12-21T00:00:00"/>
        <d v="2019-06-11T00:00:00"/>
        <d v="2020-03-12T00:00:00"/>
        <d v="2020-12-24T00:00:00"/>
        <d v="2020-05-30T00:00:00"/>
        <d v="2021-09-15T00:00:00"/>
        <d v="2019-09-18T00:00:00"/>
        <d v="2025-03-17T00:00:00"/>
        <d v="2023-05-28T00:00:00"/>
        <d v="2021-07-05T00:00:00"/>
        <d v="2019-11-01T00:00:00"/>
        <d v="2016-12-27T00:00:00"/>
        <d v="2017-12-06T00:00:00"/>
        <d v="2018-06-09T00:00:00"/>
        <d v="2023-04-07T00:00:00"/>
        <d v="2019-10-02T00:00:00"/>
        <d v="2015-10-05T00:00:00"/>
        <d v="2023-09-02T00:00:00"/>
        <d v="2021-02-18T00:00:00"/>
        <d v="2020-03-27T00:00:00"/>
        <d v="2024-11-29T00:00:00"/>
        <d v="2025-05-23T00:00:00"/>
        <d v="2013-03-13T00:00:00"/>
        <d v="2021-08-24T00:00:00"/>
        <d v="2016-09-25T00:00:00"/>
        <d v="2021-01-23T00:00:00"/>
        <d v="2016-04-09T00:00:00"/>
        <d v="2022-03-09T00:00:00"/>
        <d v="2013-09-16T00:00:00"/>
        <d v="2017-03-25T00:00:00"/>
        <d v="2024-06-30T00:00:00"/>
        <d v="2017-06-09T00:00:00"/>
        <d v="2020-08-22T00:00:00"/>
        <d v="2018-08-01T00:00:00"/>
        <d v="2020-12-22T00:00:00"/>
        <d v="2023-04-17T00:00:00"/>
        <d v="2021-04-28T00:00:00"/>
        <d v="2016-11-29T00:00:00"/>
        <d v="2023-09-12T00:00:00"/>
        <d v="2017-04-25T00:00:00"/>
        <d v="2025-06-16T00:00:00"/>
        <d v="2018-08-21T00:00:00"/>
        <d v="2011-01-15T00:00:00"/>
        <d v="2018-05-03T00:00:00"/>
        <d v="2019-09-07T00:00:00"/>
        <d v="2021-01-09T00:00:00"/>
        <d v="2014-10-07T00:00:00"/>
        <d v="2024-01-18T00:00:00"/>
        <d v="2025-01-09T00:00:00"/>
        <d v="2024-03-12T00:00:00"/>
        <d v="2025-07-25T00:00:00"/>
        <d v="2023-01-17T00:00:00"/>
        <d v="2023-06-10T00:00:00"/>
        <d v="2014-03-12T00:00:00"/>
        <d v="2016-09-11T00:00:00"/>
        <d v="2022-06-17T00:00:00"/>
        <d v="2015-08-20T00:00:00"/>
        <d v="2023-09-08T00:00:00"/>
        <d v="2019-03-31T00:00:00"/>
        <d v="2024-03-20T00:00:00"/>
        <d v="2011-09-13T00:00:00"/>
        <d v="2019-12-31T00:00:00"/>
        <d v="2016-11-19T00:00:00"/>
        <d v="2019-04-30T00:00:00"/>
        <d v="2019-03-10T00:00:00"/>
        <d v="2023-03-11T00:00:00"/>
        <d v="2022-11-20T00:00:00"/>
        <d v="2022-09-29T00:00:00"/>
        <d v="2021-06-28T00:00:00"/>
        <d v="2024-12-16T00:00:00"/>
        <d v="2017-04-11T00:00:00"/>
        <d v="2017-09-18T00:00:00"/>
        <d v="2018-10-19T00:00:00"/>
        <d v="2022-12-02T00:00:00"/>
        <d v="2010-10-21T00:00:00"/>
        <d v="2023-12-04T00:00:00"/>
        <d v="2014-12-30T00:00:00"/>
        <d v="2017-03-19T00:00:00"/>
        <d v="2017-09-01T00:00:00"/>
        <d v="2017-11-28T00:00:00"/>
        <d v="2022-02-03T00:00:00"/>
        <d v="2021-08-25T00:00:00"/>
        <d v="2025-05-14T00:00:00"/>
        <d v="2017-10-21T00:00:00"/>
        <d v="2017-09-07T00:00:00"/>
        <d v="2013-01-20T00:00:00"/>
        <d v="2021-07-18T00:00:00"/>
        <d v="2016-05-31T00:00:00"/>
        <d v="2011-12-29T00:00:00"/>
        <d v="2019-02-10T00:00:00"/>
        <d v="2016-06-01T00:00:00"/>
        <d v="2024-09-04T00:00:00"/>
        <d v="2020-07-03T00:00:00"/>
        <d v="2010-08-16T00:00:00"/>
        <d v="2021-05-31T00:00:00"/>
        <d v="2022-05-15T00:00:00"/>
        <d v="2018-04-23T00:00:00"/>
        <d v="2020-09-04T00:00:00"/>
        <d v="2023-06-20T00:00:00"/>
        <d v="2023-10-08T00:00:00"/>
        <d v="2025-07-01T00:00:00"/>
        <d v="2024-03-13T00:00:00"/>
        <d v="2018-12-30T00:00:00"/>
        <d v="2019-05-11T00:00:00"/>
        <d v="2019-02-22T00:00:00"/>
        <d v="2023-06-24T00:00:00"/>
        <d v="2024-01-30T00:00:00"/>
        <d v="2017-11-01T00:00:00"/>
        <d v="2025-04-19T00:00:00"/>
        <d v="2021-09-05T00:00:00"/>
        <d v="2016-05-04T00:00:00"/>
        <d v="2016-04-26T00:00:00"/>
        <d v="2024-03-11T00:00:00"/>
        <d v="2021-09-20T00:00:00"/>
        <d v="2022-12-07T00:00:00"/>
        <d v="2013-09-26T00:00:00"/>
        <d v="2021-05-08T00:00:00"/>
        <d v="2020-12-25T00:00:00"/>
        <d v="2023-09-06T00:00:00"/>
        <d v="2019-07-05T00:00:00"/>
        <d v="2022-03-05T00:00:00"/>
        <d v="2015-11-11T00:00:00"/>
        <d v="2014-09-22T00:00:00"/>
        <d v="2014-10-19T00:00:00"/>
        <d v="2025-05-24T00:00:00"/>
        <d v="2022-08-27T00:00:00"/>
        <d v="2020-02-07T00:00:00"/>
        <d v="2016-04-30T00:00:00"/>
        <d v="2023-01-09T00:00:00"/>
        <d v="2019-12-13T00:00:00"/>
        <d v="2016-01-03T00:00:00"/>
        <d v="2025-07-16T00:00:00"/>
        <d v="2014-12-12T00:00:00"/>
        <d v="2019-06-17T00:00:00"/>
        <d v="2017-10-23T00:00:00"/>
        <d v="2014-08-06T00:00:00"/>
        <d v="2016-10-31T00:00:00"/>
        <d v="2021-11-12T00:00:00"/>
        <d v="2023-10-03T00:00:00"/>
        <d v="2021-09-30T00:00:00"/>
        <d v="2019-01-31T00:00:00"/>
        <d v="2018-02-02T00:00:00"/>
        <d v="2023-07-06T00:00:00"/>
        <d v="2023-06-09T00:00:00"/>
        <d v="2015-08-22T00:00:00"/>
        <d v="2024-03-16T00:00:00"/>
        <d v="2018-12-20T00:00:00"/>
        <d v="2015-10-01T00:00:00"/>
        <d v="2020-02-01T00:00:00"/>
        <d v="2012-04-03T00:00:00"/>
        <d v="2022-10-01T00:00:00"/>
        <d v="2020-04-09T00:00:00"/>
        <d v="2022-12-04T00:00:00"/>
        <d v="2011-05-11T00:00:00"/>
        <d v="2019-12-14T00:00:00"/>
        <d v="2020-12-10T00:00:00"/>
        <d v="2016-11-27T00:00:00"/>
        <d v="2016-05-10T00:00:00"/>
        <d v="2022-12-06T00:00:00"/>
        <d v="2021-10-22T00:00:00"/>
        <d v="2020-11-03T00:00:00"/>
        <d v="2018-02-23T00:00:00"/>
        <d v="2019-02-12T00:00:00"/>
        <d v="2022-06-14T00:00:00"/>
        <d v="2022-05-28T00:00:00"/>
        <d v="2025-02-21T00:00:00"/>
        <d v="2016-02-24T00:00:00"/>
        <d v="2016-03-12T00:00:00"/>
        <d v="2018-11-05T00:00:00"/>
        <d v="2012-03-03T00:00:00"/>
        <d v="2017-09-19T00:00:00"/>
        <d v="2023-05-23T00:00:00"/>
        <d v="2017-01-21T00:00:00"/>
        <d v="2015-09-25T00:00:00"/>
        <d v="2022-05-07T00:00:00"/>
        <d v="2020-08-02T00:00:00"/>
        <d v="2021-11-28T00:00:00"/>
        <d v="2019-02-07T00:00:00"/>
        <d v="2015-08-19T00:00:00"/>
        <d v="2024-11-22T00:00:00"/>
        <d v="2020-11-05T00:00:00"/>
        <d v="2024-04-22T00:00:00"/>
        <d v="2014-07-29T00:00:00"/>
        <d v="2025-08-11T00:00:00"/>
        <d v="2017-04-02T00:00:00"/>
        <d v="2020-12-18T00:00:00"/>
        <d v="2013-07-30T00:00:00"/>
        <d v="2016-07-30T00:00:00"/>
        <d v="2025-06-02T00:00:00"/>
        <d v="2023-01-19T00:00:00"/>
        <d v="2020-12-23T00:00:00"/>
        <d v="2022-08-07T00:00:00"/>
        <d v="2017-06-26T00:00:00"/>
        <d v="2025-01-12T00:00:00"/>
        <d v="2010-09-03T00:00:00"/>
        <d v="2021-02-20T00:00:00"/>
        <d v="2020-07-01T00:00:00"/>
        <d v="2023-09-14T00:00:00"/>
        <d v="2016-10-21T00:00:00"/>
        <d v="2016-06-21T00:00:00"/>
        <d v="2022-02-22T00:00:00"/>
        <d v="2011-11-13T00:00:00"/>
        <d v="2016-10-03T00:00:00"/>
        <d v="2021-06-09T00:00:00"/>
        <d v="2016-04-02T00:00:00"/>
        <d v="2023-06-11T00:00:00"/>
        <d v="2022-09-09T00:00:00"/>
        <d v="2021-05-06T00:00:00"/>
        <d v="2022-08-06T00:00:00"/>
        <d v="2020-09-21T00:00:00"/>
        <d v="2017-03-20T00:00:00"/>
        <d v="2011-10-12T00:00:00"/>
        <d v="2020-04-01T00:00:00"/>
        <d v="2013-01-14T00:00:00"/>
        <d v="2024-05-12T00:00:00"/>
        <d v="2020-10-23T00:00:00"/>
        <d v="2015-02-07T00:00:00"/>
        <d v="2020-10-13T00:00:00"/>
        <d v="2023-05-11T00:00:00"/>
        <d v="2025-02-15T00:00:00"/>
        <d v="2023-01-26T00:00:00"/>
        <d v="2022-07-06T00:00:00"/>
        <d v="2017-06-23T00:00:00"/>
        <d v="2018-12-19T00:00:00"/>
        <d v="2019-12-29T00:00:00"/>
        <d v="2020-11-13T00:00:00"/>
        <d v="2020-09-15T00:00:00"/>
        <d v="2020-09-02T00:00:00"/>
        <d v="2024-10-16T00:00:00"/>
        <d v="2015-08-17T00:00:00"/>
        <d v="2024-05-08T00:00:00"/>
        <d v="2023-04-22T00:00:00"/>
        <d v="2022-06-07T00:00:00"/>
        <d v="2016-09-07T00:00:00"/>
        <d v="2011-08-14T00:00:00"/>
        <d v="2019-01-14T00:00:00"/>
        <d v="2020-09-20T00:00:00"/>
        <d v="2021-02-13T00:00:00"/>
        <d v="2024-05-21T00:00:00"/>
        <d v="2021-01-30T00:00:00"/>
        <d v="2012-07-06T00:00:00"/>
        <d v="2015-10-29T00:00:00"/>
        <d v="2016-12-04T00:00:00"/>
        <d v="2020-06-02T00:00:00"/>
        <d v="2016-10-04T00:00:00"/>
        <d v="2019-03-15T00:00:00"/>
        <d v="2016-12-28T00:00:00"/>
        <d v="2020-02-18T00:00:00"/>
        <d v="2011-02-08T00:00:00"/>
        <d v="2019-09-14T00:00:00"/>
        <d v="2020-09-16T00:00:00"/>
        <d v="2024-07-31T00:00:00"/>
        <d v="2021-03-02T00:00:00"/>
        <d v="2024-01-22T00:00:00"/>
        <d v="2019-09-09T00:00:00"/>
        <d v="2023-11-21T00:00:00"/>
        <d v="2016-02-27T00:00:00"/>
        <d v="2019-05-09T00:00:00"/>
        <d v="2017-06-21T00:00:00"/>
        <d v="2020-12-28T00:00:00"/>
        <d v="2017-01-30T00:00:00"/>
        <d v="2021-03-03T00:00:00"/>
        <d v="2021-01-10T00:00:00"/>
        <d v="2021-02-02T00:00:00"/>
        <d v="2021-03-12T00:00:00"/>
        <d v="2021-05-07T00:00:00"/>
        <d v="2023-10-23T00:00:00"/>
        <d v="2020-01-26T00:00:00"/>
        <d v="2022-01-15T00:00:00"/>
        <d v="2022-05-10T00:00:00"/>
        <d v="2021-09-02T00:00:00"/>
        <d v="2018-08-08T00:00:00"/>
        <d v="2021-05-20T00:00:00"/>
        <d v="2019-01-21T00:00:00"/>
        <d v="2017-02-12T00:00:00"/>
        <d v="2016-03-11T00:00:00"/>
        <d v="2019-04-02T00:00:00"/>
        <d v="2021-02-06T00:00:00"/>
        <d v="2015-05-03T00:00:00"/>
        <d v="2020-06-06T00:00:00"/>
        <d v="2022-08-23T00:00:00"/>
        <d v="2022-03-28T00:00:00"/>
        <d v="2016-05-22T00:00:00"/>
        <d v="2016-03-02T00:00:00"/>
        <d v="2017-09-11T00:00:00"/>
        <d v="2020-07-28T00:00:00"/>
        <d v="2022-03-16T00:00:00"/>
        <d v="2012-10-30T00:00:00"/>
        <d v="2016-05-29T00:00:00"/>
        <d v="2023-09-11T00:00:00"/>
        <d v="2022-05-19T00:00:00"/>
        <d v="2014-03-16T00:00:00"/>
        <d v="2021-06-25T00:00:00"/>
        <d v="2025-03-30T00:00:00"/>
        <d v="2019-11-08T00:00:00"/>
        <d v="2023-10-21T00:00:00"/>
        <d v="2011-02-17T00:00:00"/>
        <d v="2011-12-02T00:00:00"/>
        <d v="2018-11-25T00:00:00"/>
        <d v="2020-01-15T00:00:00"/>
        <d v="2020-02-08T00:00:00"/>
        <d v="2015-09-05T00:00:00"/>
        <d v="2025-07-21T00:00:00"/>
        <d v="2024-07-27T00:00:00"/>
        <d v="2017-04-19T00:00:00"/>
        <d v="2019-03-26T00:00:00"/>
        <d v="2016-11-24T00:00:00"/>
        <d v="2017-04-12T00:00:00"/>
        <d v="2022-03-01T00:00:00"/>
        <d v="2025-06-10T00:00:00"/>
        <d v="2018-10-09T00:00:00"/>
        <d v="2021-02-26T00:00:00"/>
        <d v="2019-03-20T00:00:00"/>
        <d v="2022-05-14T00:00:00"/>
        <d v="2014-04-25T00:00:00"/>
        <d v="2019-07-29T00:00:00"/>
        <d v="2025-07-29T00:00:00"/>
        <d v="2025-06-15T00:00:00"/>
        <d v="2024-06-06T00:00:00"/>
        <d v="2022-06-21T00:00:00"/>
        <d v="2019-07-10T00:00:00"/>
        <d v="2020-02-16T00:00:00"/>
        <d v="2024-09-01T00:00:00"/>
        <d v="2023-03-27T00:00:00"/>
        <d v="2016-10-20T00:00:00"/>
        <d v="2022-04-22T00:00:00"/>
        <d v="2014-06-24T00:00:00"/>
        <d v="2021-01-17T00:00:00"/>
        <d v="2017-12-18T00:00:00"/>
        <d v="2019-01-07T00:00:00"/>
        <d v="2019-07-03T00:00:00"/>
        <d v="2021-11-05T00:00:00"/>
        <d v="2023-03-09T00:00:00"/>
        <d v="2020-08-23T00:00:00"/>
        <d v="2016-07-07T00:00:00"/>
        <d v="2018-08-02T00:00:00"/>
        <d v="2019-01-27T00:00:00"/>
        <d v="2024-01-23T00:00:00"/>
        <d v="2017-06-10T00:00:00"/>
        <d v="2021-08-31T00:00:00"/>
        <d v="2024-05-07T00:00:00"/>
        <d v="2019-04-29T00:00:00"/>
        <d v="2019-10-14T00:00:00"/>
        <d v="2025-06-26T00:00:00"/>
        <d v="2018-03-17T00:00:00"/>
        <d v="2014-12-09T00:00:00"/>
        <d v="2024-01-28T00:00:00"/>
        <d v="2022-01-03T00:00:00"/>
        <d v="2017-10-31T00:00:00"/>
        <d v="2018-07-02T00:00:00"/>
        <d v="2014-07-26T00:00:00"/>
        <d v="2022-09-06T00:00:00"/>
        <d v="2021-04-20T00:00:00"/>
        <d v="2018-12-17T00:00:00"/>
        <d v="2021-07-21T00:00:00"/>
        <d v="2022-10-13T00:00:00"/>
        <d v="2018-05-19T00:00:00"/>
        <d v="2022-05-30T00:00:00"/>
        <d v="2016-03-29T00:00:00"/>
        <d v="2022-01-27T00:00:00"/>
        <d v="2023-05-17T00:00:00"/>
        <d v="2015-09-11T00:00:00"/>
        <d v="2019-05-12T00:00:00"/>
        <d v="2024-12-15T00:00:00"/>
        <d v="2025-02-20T00:00:00"/>
        <d v="2025-07-18T00:00:00"/>
        <d v="2022-01-05T00:00:00"/>
        <d v="2018-11-30T00:00:00"/>
        <d v="2016-12-23T00:00:00"/>
        <d v="2011-09-21T00:00:00"/>
        <d v="2015-03-10T00:00:00"/>
        <d v="2019-07-26T00:00:00"/>
        <d v="2015-11-19T00:00:00"/>
        <d v="2019-10-17T00:00:00"/>
        <d v="2021-03-24T00:00:00"/>
        <d v="2025-08-03T00:00:00"/>
        <d v="2012-02-14T00:00:00"/>
        <d v="2018-03-21T00:00:00"/>
        <d v="2016-08-25T00:00:00"/>
        <d v="2024-04-07T00:00:00"/>
        <d v="2018-05-28T00:00:00"/>
        <d v="2017-11-15T00:00:00"/>
        <d v="2014-09-20T00:00:00"/>
        <d v="2023-07-12T00:00:00"/>
        <d v="2018-11-19T00:00:00"/>
        <d v="2011-12-28T00:00:00"/>
        <d v="2019-02-25T00:00:00"/>
        <d v="2017-10-04T00:00:00"/>
        <d v="2024-12-12T00:00:00"/>
        <d v="2022-01-02T00:00:00"/>
        <d v="2018-04-07T00:00:00"/>
        <d v="2021-08-23T00:00:00"/>
        <d v="2016-08-27T00:00:00"/>
        <d v="2016-07-08T00:00:00"/>
        <d v="2025-07-08T00:00:00"/>
        <d v="2015-12-16T00:00:00"/>
        <d v="2023-01-11T00:00:00"/>
        <d v="2021-11-18T00:00:00"/>
        <d v="2024-10-06T00:00:00"/>
        <d v="2013-05-05T00:00:00"/>
        <d v="2017-01-24T00:00:00"/>
        <d v="2024-11-21T00:00:00"/>
        <d v="2019-08-27T00:00:00"/>
        <d v="2020-09-03T00:00:00"/>
        <d v="2024-09-20T00:00:00"/>
        <d v="2023-01-31T00:00:00"/>
        <d v="2019-02-15T00:00:00"/>
        <d v="2016-03-10T00:00:00"/>
        <d v="2016-07-21T00:00:00"/>
        <d v="2022-02-23T00:00:00"/>
        <d v="2019-01-05T00:00:00"/>
        <d v="2020-01-11T00:00:00"/>
        <d v="2023-11-30T00:00:00"/>
        <d v="2019-12-12T00:00:00"/>
        <d v="2019-11-23T00:00:00"/>
        <d v="2015-11-14T00:00:00"/>
        <d v="2011-12-09T00:00:00"/>
        <d v="2022-10-18T00:00:00"/>
        <d v="2019-09-08T00:00:00"/>
        <d v="2023-08-14T00:00:00"/>
        <d v="2021-05-11T00:00:00"/>
        <d v="2024-05-17T00:00:00"/>
        <d v="2017-05-24T00:00:00"/>
        <d v="2018-02-21T00:00:00"/>
        <d v="2020-03-28T00:00:00"/>
        <d v="2025-04-01T00:00:00"/>
        <d v="2018-02-19T00:00:00"/>
        <d v="2023-01-30T00:00:00"/>
        <d v="2013-11-16T00:00:00"/>
        <d v="2023-10-05T00:00:00"/>
        <d v="2020-11-10T00:00:00"/>
        <d v="2024-12-01T00:00:00"/>
        <d v="2013-10-18T00:00:00"/>
        <d v="2015-12-25T00:00:00"/>
        <d v="2018-05-01T00:00:00"/>
        <d v="2014-07-24T00:00:00"/>
        <d v="2024-05-27T00:00:00"/>
        <d v="2016-11-26T00:00:00"/>
        <d v="2020-11-08T00:00:00"/>
        <d v="2022-09-20T00:00:00"/>
        <d v="2016-10-13T00:00:00"/>
        <d v="2023-12-20T00:00:00"/>
        <d v="2012-04-02T00:00:00"/>
        <d v="2018-05-31T00:00:00"/>
        <d v="2025-04-23T00:00:00"/>
        <d v="2020-07-10T00:00:00"/>
        <d v="2019-08-20T00:00:00"/>
        <d v="2011-02-22T00:00:00"/>
        <d v="2025-03-11T00:00:00"/>
        <d v="2022-09-13T00:00:00"/>
        <d v="2024-11-08T00:00:00"/>
        <d v="2025-07-06T00:00:00"/>
        <d v="2017-12-31T00:00:00"/>
        <d v="2018-11-16T00:00:00"/>
        <d v="2022-12-24T00:00:00"/>
        <d v="2021-10-05T00:00:00"/>
        <d v="2025-06-07T00:00:00"/>
        <d v="2025-06-17T00:00:00"/>
        <d v="2017-07-23T00:00:00"/>
        <d v="2021-05-03T00:00:00"/>
        <d v="2021-08-18T00:00:00"/>
        <d v="2020-01-07T00:00:00"/>
        <d v="2018-10-26T00:00:00"/>
        <d v="2023-07-31T00:00:00"/>
        <d v="2017-09-30T00:00:00"/>
        <d v="2024-11-19T00:00:00"/>
        <d v="2023-11-01T00:00:00"/>
        <d v="2024-04-04T00:00:00"/>
        <d v="2020-10-19T00:00:00"/>
        <d v="2015-05-10T00:00:00"/>
        <d v="2018-11-28T00:00:00"/>
        <d v="2021-10-29T00:00:00"/>
        <d v="2018-06-11T00:00:00"/>
        <d v="2025-04-25T00:00:00"/>
        <d v="2018-11-17T00:00:00"/>
        <d v="2024-06-20T00:00:00"/>
        <d v="2024-07-03T00:00:00"/>
        <d v="2023-07-18T00:00:00"/>
        <d v="2023-11-07T00:00:00"/>
        <d v="2025-06-21T00:00:00"/>
        <d v="2020-06-10T00:00:00"/>
        <d v="2016-06-22T00:00:00"/>
        <d v="2025-01-07T00:00:00"/>
        <d v="2016-10-24T00:00:00"/>
        <d v="2017-05-13T00:00:00"/>
        <d v="2022-05-16T00:00:00"/>
        <d v="2021-12-31T00:00:00"/>
        <d v="2022-09-10T00:00:00"/>
        <d v="2020-12-04T00:00:00"/>
        <d v="2024-08-09T00:00:00"/>
        <d v="2015-01-26T00:00:00"/>
        <d v="2020-05-12T00:00:00"/>
        <d v="2024-08-18T00:00:00"/>
        <d v="2024-02-12T00:00:00"/>
        <d v="2019-07-28T00:00:00"/>
        <d v="2016-04-20T00:00:00"/>
        <d v="2022-04-26T00:00:00"/>
        <d v="2022-12-12T00:00:00"/>
        <d v="2022-01-08T00:00:00"/>
        <d v="2019-03-03T00:00:00"/>
        <d v="2010-10-07T00:00:00"/>
        <d v="2018-02-20T00:00:00"/>
        <d v="2019-02-20T00:00:00"/>
        <d v="2017-11-04T00:00:00"/>
        <d v="2020-10-14T00:00:00"/>
        <d v="2018-10-05T00:00:00"/>
        <d v="2024-06-15T00:00:00"/>
        <d v="2025-05-30T00:00:00"/>
        <d v="2012-11-11T00:00:00"/>
        <d v="2012-09-28T00:00:00"/>
        <d v="2020-06-24T00:00:00"/>
        <d v="2010-08-31T00:00:00"/>
        <d v="2024-11-28T00:00:00"/>
        <d v="2023-06-22T00:00:00"/>
        <d v="2024-07-15T00:00:00"/>
        <d v="2022-01-10T00:00:00"/>
        <d v="2021-03-16T00:00:00"/>
        <d v="2011-02-21T00:00:00"/>
        <d v="2016-02-13T00:00:00"/>
        <d v="2020-06-14T00:00:00"/>
        <d v="2025-05-02T00:00:00"/>
        <d v="2020-07-05T00:00:00"/>
        <d v="2016-10-14T00:00:00"/>
        <d v="2018-12-08T00:00:00"/>
        <d v="2019-01-11T00:00:00"/>
        <d v="2023-07-05T00:00:00"/>
        <d v="2016-01-19T00:00:00"/>
        <d v="2016-02-18T00:00:00"/>
        <d v="2022-01-30T00:00:00"/>
        <d v="2025-06-04T00:00:00"/>
        <d v="2017-02-19T00:00:00"/>
        <d v="2025-02-02T00:00:00"/>
        <d v="2022-04-09T00:00:00"/>
        <d v="2020-06-25T00:00:00"/>
        <d v="2024-12-05T00:00:00"/>
        <d v="2022-12-31T00:00:00"/>
        <d v="2022-10-25T00:00:00"/>
        <d v="2017-11-24T00:00:00"/>
        <d v="2022-03-03T00:00:00"/>
        <d v="2025-05-04T00:00:00"/>
        <d v="2017-05-01T00:00:00"/>
        <d v="2025-04-22T00:00:00"/>
        <d v="2017-05-31T00:00:00"/>
        <d v="2017-10-05T00:00:00"/>
        <d v="2024-05-25T00:00:00"/>
        <d v="2025-05-17T00:00:00"/>
        <d v="2013-03-17T00:00:00"/>
        <d v="2019-01-28T00:00:00"/>
        <d v="2019-08-14T00:00:00"/>
        <d v="2012-10-09T00:00:00"/>
        <d v="2019-03-11T00:00:00"/>
        <d v="2024-05-18T00:00:00"/>
        <d v="2014-03-25T00:00:00"/>
        <d v="2022-03-10T00:00:00"/>
        <d v="2020-12-09T00:00:00"/>
        <d v="2022-04-13T00:00:00"/>
        <d v="2024-08-25T00:00:00"/>
        <d v="2020-04-06T00:00:00"/>
        <d v="2014-09-04T00:00:00"/>
        <d v="2024-06-16T00:00:00"/>
        <d v="2019-08-08T00:00:00"/>
        <d v="2015-09-07T00:00:00"/>
        <d v="2018-09-21T00:00:00"/>
        <d v="2016-03-28T00:00:00"/>
        <d v="2017-07-11T00:00:00"/>
        <d v="2024-11-20T00:00:00"/>
        <d v="2025-04-03T00:00:00"/>
        <d v="2024-01-14T00:00:00"/>
        <d v="2020-10-20T00:00:00"/>
        <d v="2021-05-10T00:00:00"/>
        <d v="2022-04-10T00:00:00"/>
        <d v="2018-04-01T00:00:00"/>
        <d v="2022-10-05T00:00:00"/>
        <d v="2022-12-13T00:00:00"/>
        <d v="2025-01-25T00:00:00"/>
        <d v="2021-07-28T00:00:00"/>
        <d v="2022-08-21T00:00:00"/>
        <d v="2021-06-17T00:00:00"/>
        <d v="2024-01-09T00:00:00"/>
        <d v="2019-06-22T00:00:00"/>
        <d v="2012-04-01T00:00:00"/>
        <d v="2016-09-23T00:00:00"/>
        <d v="2022-11-26T00:00:00"/>
        <d v="2018-05-14T00:00:00"/>
        <d v="2018-10-07T00:00:00"/>
        <d v="2019-08-17T00:00:00"/>
        <d v="2021-06-18T00:00:00"/>
        <d v="2017-12-30T00:00:00"/>
        <d v="2023-09-13T00:00:00"/>
        <d v="2023-04-20T00:00:00"/>
        <d v="2023-07-07T00:00:00"/>
        <d v="2016-10-01T00:00:00"/>
        <d v="2021-04-02T00:00:00"/>
        <d v="2025-03-13T00:00:00"/>
        <d v="2022-08-17T00:00:00"/>
        <d v="2024-06-17T00:00:00"/>
        <d v="2023-03-19T00:00:00"/>
        <d v="2025-02-09T00:00:00"/>
        <d v="2016-04-15T00:00:00"/>
        <d v="2024-12-06T00:00:00"/>
        <d v="2011-12-20T00:00:00"/>
        <d v="2021-11-27T00:00:00"/>
        <d v="2024-04-13T00:00:00"/>
        <d v="2022-09-26T00:00:00"/>
        <d v="2024-05-15T00:00:00"/>
        <d v="2012-02-07T00:00:00"/>
        <d v="2016-09-26T00:00:00"/>
        <d v="2017-05-22T00:00:00"/>
        <d v="2022-02-26T00:00:00"/>
        <d v="2023-09-24T00:00:00"/>
        <d v="2017-02-20T00:00:00"/>
        <d v="2021-11-02T00:00:00"/>
        <d v="2025-07-26T00:00:00"/>
        <d v="2017-03-28T00:00:00"/>
        <d v="2021-10-30T00:00:00"/>
        <d v="2016-02-23T00:00:00"/>
        <d v="2018-11-21T00:00:00"/>
        <d v="2024-03-01T00:00:00"/>
        <d v="2024-10-26T00:00:00"/>
        <d v="2025-05-22T00:00:00"/>
        <d v="2017-02-27T00:00:00"/>
        <d v="2022-01-14T00:00:00"/>
        <d v="2017-09-10T00:00:00"/>
        <d v="2012-10-02T00:00:00"/>
        <d v="2012-02-03T00:00:00"/>
        <d v="2022-10-14T00:00:00"/>
        <d v="2017-09-15T00:00:00"/>
        <d v="2020-02-06T00:00:00"/>
        <d v="2018-07-21T00:00:00"/>
        <d v="2021-02-10T00:00:00"/>
        <d v="2020-08-31T00:00:00"/>
        <d v="2024-09-29T00:00:00"/>
        <d v="2021-01-19T00:00:00"/>
        <d v="2024-07-04T00:00:00"/>
        <d v="2022-07-01T00:00:00"/>
        <d v="2025-03-22T00:00:00"/>
        <d v="2019-08-26T00:00:00"/>
        <d v="2022-10-30T00:00:00"/>
        <d v="2024-12-10T00:00:00"/>
        <d v="2020-03-10T00:00:00"/>
        <d v="2024-09-06T00:00:00"/>
        <d v="2011-11-28T00:00:00"/>
        <d v="2023-03-01T00:00:00"/>
        <d v="2024-07-21T00:00:00"/>
        <d v="2022-08-28T00:00:00"/>
        <d v="2022-10-21T00:00:00"/>
        <d v="2016-01-21T00:00:00"/>
        <d v="2019-10-30T00:00:00"/>
        <d v="2014-10-26T00:00:00"/>
        <d v="2016-07-11T00:00:00"/>
        <d v="2016-02-10T00:00:00"/>
        <d v="2025-06-23T00:00:00"/>
        <d v="2024-02-20T00:00:00"/>
        <d v="2024-03-18T00:00:00"/>
        <d v="2024-01-11T00:00:00"/>
        <d v="2024-12-17T00:00:00"/>
        <d v="2017-09-06T00:00:00"/>
        <d v="2022-02-20T00:00:00"/>
        <d v="2024-11-26T00:00:00"/>
        <d v="2025-02-16T00:00:00"/>
        <d v="2023-11-16T00:00:00"/>
        <d v="2014-01-22T00:00:00"/>
        <d v="2025-04-16T00:00:00"/>
        <d v="2016-09-12T00:00:00"/>
        <d v="2018-06-21T00:00:00"/>
        <d v="2016-06-20T00:00:00"/>
        <d v="2011-06-18T00:00:00"/>
        <d v="2020-11-30T00:00:00"/>
        <d v="2021-02-05T00:00:00"/>
        <d v="2020-01-19T00:00:00"/>
        <d v="2020-01-24T00:00:00"/>
        <d v="2018-04-09T00:00:00"/>
        <d v="2016-11-16T00:00:00"/>
        <d v="2021-06-04T00:00:00"/>
        <d v="2025-05-16T00:00:00"/>
        <d v="2019-06-14T00:00:00"/>
        <d v="2020-08-27T00:00:00"/>
        <d v="2013-04-14T00:00:00"/>
        <d v="2014-11-22T00:00:00"/>
        <d v="2022-06-24T00:00:00"/>
        <d v="2015-08-15T00:00:00"/>
        <d v="2020-12-26T00:00:00"/>
        <d v="2018-04-24T00:00:00"/>
        <d v="2019-02-24T00:00:00"/>
        <d v="2022-10-31T00:00:00"/>
        <d v="2011-07-27T00:00:00"/>
        <d v="2022-04-25T00:00:00"/>
        <d v="2017-01-25T00:00:00"/>
        <d v="2020-03-06T00:00:00"/>
        <d v="2011-06-13T00:00:00"/>
        <d v="2016-03-26T00:00:00"/>
        <d v="2023-11-02T00:00:00"/>
        <d v="2014-08-20T00:00:00"/>
        <d v="2015-07-15T00:00:00"/>
        <d v="2015-08-30T00:00:00"/>
        <d v="2017-06-08T00:00:00"/>
        <d v="2021-12-29T00:00:00"/>
        <d v="2024-08-20T00:00:00"/>
        <d v="2015-11-17T00:00:00"/>
        <d v="2018-01-07T00:00:00"/>
        <d v="2016-03-19T00:00:00"/>
        <d v="2012-11-24T00:00:00"/>
        <d v="2020-08-26T00:00:00"/>
        <d v="2024-06-01T00:00:00"/>
        <d v="2022-05-09T00:00:00"/>
        <d v="2021-10-25T00:00:00"/>
        <d v="2021-10-07T00:00:00"/>
        <d v="2017-11-25T00:00:00"/>
        <d v="2024-11-15T00:00:00"/>
        <d v="2024-01-27T00:00:00"/>
        <d v="2024-09-23T00:00:00"/>
        <d v="2025-06-18T00:00:00"/>
        <d v="2016-12-16T00:00:00"/>
        <d v="2019-09-17T00:00:00"/>
        <d v="2011-02-12T00:00:00"/>
        <d v="2021-11-20T00:00:00"/>
        <d v="2011-04-04T00:00:00"/>
        <d v="2012-10-18T00:00:00"/>
        <d v="2015-02-08T00:00:00"/>
        <d v="2012-11-04T00:00:00"/>
        <d v="2016-09-15T00:00:00"/>
        <d v="2017-11-30T00:00:00"/>
        <d v="2017-02-07T00:00:00"/>
        <d v="2023-11-11T00:00:00"/>
        <d v="2022-12-16T00:00:00"/>
        <d v="2019-12-20T00:00:00"/>
        <d v="2021-05-15T00:00:00"/>
        <d v="2016-10-29T00:00:00"/>
        <d v="2024-11-23T00:00:00"/>
        <d v="2024-10-20T00:00:00"/>
        <d v="2016-03-20T00:00:00"/>
        <d v="2022-04-20T00:00:00"/>
        <d v="2024-10-21T00:00:00"/>
        <d v="2022-03-17T00:00:00"/>
        <d v="2021-03-08T00:00:00"/>
        <d v="2022-09-17T00:00:00"/>
        <d v="2019-04-19T00:00:00"/>
        <d v="2024-04-19T00:00:00"/>
        <d v="2016-04-24T00:00:00"/>
        <d v="2017-10-18T00:00:00"/>
        <d v="2015-11-15T00:00:00"/>
        <d v="2021-12-06T00:00:00"/>
        <d v="2020-11-16T00:00:00"/>
        <d v="2024-05-30T00:00:00"/>
        <d v="2017-05-19T00:00:00"/>
        <d v="2015-10-25T00:00:00"/>
        <d v="2023-09-30T00:00:00"/>
        <d v="2021-12-05T00:00:00"/>
        <d v="2024-07-07T00:00:00"/>
        <d v="2018-05-22T00:00:00"/>
        <d v="2019-08-12T00:00:00"/>
        <d v="2016-01-07T00:00:00"/>
        <d v="2021-03-01T00:00:00"/>
        <d v="2018-06-15T00:00:00"/>
        <d v="2017-04-24T00:00:00"/>
        <d v="2019-04-03T00:00:00"/>
        <d v="2013-10-08T00:00:00"/>
        <d v="2015-01-15T00:00:00"/>
        <d v="2018-12-07T00:00:00"/>
        <d v="2019-11-17T00:00:00"/>
        <d v="2018-09-28T00:00:00"/>
        <d v="2016-02-09T00:00:00"/>
        <d v="2022-06-05T00:00:00"/>
        <d v="2018-01-14T00:00:00"/>
        <d v="2021-09-16T00:00:00"/>
        <d v="2015-11-29T00:00:00"/>
        <d v="2019-02-26T00:00:00"/>
        <d v="2025-02-05T00:00:00"/>
        <d v="2018-12-04T00:00:00"/>
        <d v="2018-08-29T00:00:00"/>
        <d v="2016-09-14T00:00:00"/>
        <d v="2018-01-09T00:00:00"/>
        <d v="2014-09-30T00:00:00"/>
        <d v="2016-12-01T00:00:00"/>
        <d v="2022-05-26T00:00:00"/>
        <d v="2016-09-10T00:00:00"/>
        <d v="2019-09-25T00:00:00"/>
        <d v="2025-01-06T00:00:00"/>
        <d v="2019-10-20T00:00:00"/>
        <d v="2022-02-07T00:00:00"/>
        <d v="2021-11-03T00:00:00"/>
        <d v="2022-08-16T00:00:00"/>
        <d v="2018-03-22T00:00:00"/>
        <d v="2018-09-03T00:00:00"/>
        <d v="2021-10-21T00:00:00"/>
        <d v="2024-09-11T00:00:00"/>
        <d v="2015-09-09T00:00:00"/>
        <d v="2016-06-05T00:00:00"/>
        <d v="2019-11-18T00:00:00"/>
        <d v="2018-11-07T00:00:00"/>
        <d v="2023-11-24T00:00:00"/>
        <d v="2018-11-12T00:00:00"/>
        <d v="2013-01-31T00:00:00"/>
        <d v="2019-04-05T00:00:00"/>
        <d v="2022-02-05T00:00:00"/>
        <d v="2022-07-23T00:00:00"/>
        <d v="2018-07-23T00:00:00"/>
        <d v="2022-01-29T00:00:00"/>
        <d v="2013-04-12T00:00:00"/>
        <d v="2025-08-02T00:00:00"/>
        <d v="2023-03-21T00:00:00"/>
        <d v="2025-03-07T00:00:00"/>
        <d v="2018-07-15T00:00:00"/>
        <d v="2018-04-03T00:00:00"/>
        <d v="2024-02-01T00:00:00"/>
        <d v="2015-11-23T00:00:00"/>
        <d v="2018-04-17T00:00:00"/>
        <d v="2022-06-10T00:00:00"/>
        <d v="2019-03-01T00:00:00"/>
        <d v="2020-12-08T00:00:00"/>
        <d v="2022-02-17T00:00:00"/>
        <d v="2017-09-12T00:00:00"/>
        <d v="2022-11-25T00:00:00"/>
        <d v="2019-03-30T00:00:00"/>
        <d v="2019-01-23T00:00:00"/>
        <d v="2015-08-12T00:00:00"/>
        <d v="2020-09-25T00:00:00"/>
        <d v="2021-04-03T00:00:00"/>
        <d v="2020-03-20T00:00:00"/>
        <d v="2021-03-31T00:00:00"/>
        <d v="2022-01-23T00:00:00"/>
        <d v="2021-01-04T00:00:00"/>
        <d v="2019-04-28T00:00:00"/>
        <d v="2016-06-26T00:00:00"/>
        <d v="2021-01-01T00:00:00"/>
        <d v="2015-12-17T00:00:00"/>
        <d v="2016-08-11T00:00:00"/>
        <d v="2011-03-16T00:00:00"/>
        <d v="2023-12-09T00:00:00"/>
        <d v="2021-04-29T00:00:00"/>
        <d v="2018-11-23T00:00:00"/>
        <d v="2011-11-11T00:00:00"/>
        <d v="2021-02-08T00:00:00"/>
        <d v="2021-04-26T00:00:00"/>
        <d v="2019-06-27T00:00:00"/>
        <d v="2023-03-17T00:00:00"/>
        <d v="2023-12-19T00:00:00"/>
        <d v="2010-12-26T00:00:00"/>
        <d v="2024-07-20T00:00:00"/>
        <d v="2022-07-31T00:00:00"/>
        <d v="2022-07-04T00:00:00"/>
        <d v="2016-06-02T00:00:00"/>
        <d v="2023-06-03T00:00:00"/>
        <d v="2020-11-29T00:00:00"/>
        <d v="2017-02-23T00:00:00"/>
        <d v="2022-07-12T00:00:00"/>
        <d v="2024-08-11T00:00:00"/>
        <d v="2024-02-13T00:00:00"/>
        <d v="2022-09-28T00:00:00"/>
        <d v="2016-03-16T00:00:00"/>
        <d v="2015-03-19T00:00:00"/>
        <d v="2021-03-10T00:00:00"/>
        <d v="2017-12-02T00:00:00"/>
        <d v="2017-06-03T00:00:00"/>
        <d v="2020-12-30T00:00:00"/>
        <d v="2023-08-24T00:00:00"/>
        <d v="2015-12-18T00:00:00"/>
        <d v="2024-07-18T00:00:00"/>
        <d v="2024-09-05T00:00:00"/>
        <d v="2023-12-24T00:00:00"/>
        <d v="2017-11-11T00:00:00"/>
        <d v="2024-09-24T00:00:00"/>
        <d v="2015-11-20T00:00:00"/>
        <d v="2018-12-22T00:00:00"/>
        <d v="2023-01-01T00:00:00"/>
        <d v="2019-04-08T00:00:00"/>
        <d v="2022-08-14T00:00:00"/>
        <d v="2018-09-10T00:00:00"/>
        <d v="2015-11-27T00:00:00"/>
        <d v="2019-06-03T00:00:00"/>
        <d v="2013-03-16T00:00:00"/>
        <d v="2018-12-18T00:00:00"/>
        <d v="2020-05-14T00:00:00"/>
        <d v="2025-06-05T00:00:00"/>
        <d v="2025-02-28T00:00:00"/>
        <d v="2022-02-15T00:00:00"/>
        <d v="2023-08-25T00:00:00"/>
        <d v="2025-06-20T00:00:00"/>
        <d v="2023-12-31T00:00:00"/>
        <d v="2024-03-06T00:00:00"/>
        <d v="2024-04-10T00:00:00"/>
        <d v="2017-07-25T00:00:00"/>
        <d v="2023-07-10T00:00:00"/>
        <d v="2024-05-05T00:00:00"/>
        <d v="2019-09-04T00:00:00"/>
        <d v="2017-08-08T00:00:00"/>
        <d v="2016-03-13T00:00:00"/>
        <d v="2020-09-07T00:00:00"/>
        <d v="2016-09-16T00:00:00"/>
        <d v="2020-01-06T00:00:00"/>
        <d v="2016-10-18T00:00:00"/>
        <d v="2021-12-27T00:00:00"/>
        <d v="2018-08-05T00:00:00"/>
        <d v="2021-03-15T00:00:00"/>
        <d v="2023-12-01T00:00:00"/>
        <d v="2021-06-03T00:00:00"/>
        <d v="2010-11-23T00:00:00"/>
        <d v="2023-02-25T00:00:00"/>
        <d v="2014-06-26T00:00:00"/>
        <d v="2023-07-16T00:00:00"/>
        <d v="2016-08-07T00:00:00"/>
        <d v="2018-11-04T00:00:00"/>
        <d v="2016-04-17T00:00:00"/>
        <d v="2023-12-08T00:00:00"/>
        <d v="2024-06-03T00:00:00"/>
        <d v="2024-05-26T00:00:00"/>
        <d v="2016-08-03T00:00:00"/>
        <d v="2018-09-06T00:00:00"/>
        <d v="2025-08-10T00:00:00"/>
        <d v="2021-10-01T00:00:00"/>
        <d v="2014-04-24T00:00:00"/>
        <d v="2024-10-01T00:00:00"/>
        <d v="2020-06-09T00:00:00"/>
        <d v="2021-04-04T00:00:00"/>
        <d v="2023-10-02T00:00:00"/>
        <d v="2020-03-30T00:00:00"/>
        <d v="2018-05-17T00:00:00"/>
        <d v="2021-04-01T00:00:00"/>
        <d v="2017-03-24T00:00:00"/>
        <d v="2021-01-03T00:00:00"/>
        <d v="2022-01-04T00:00:00"/>
        <d v="2015-11-28T00:00:00"/>
        <d v="2022-04-08T00:00:00"/>
        <d v="2023-08-01T00:00:00"/>
        <d v="2015-01-10T00:00:00"/>
        <d v="2013-03-25T00:00:00"/>
        <d v="2022-05-06T00:00:00"/>
        <d v="2021-04-21T00:00:00"/>
        <d v="2015-01-06T00:00:00"/>
        <d v="2017-01-23T00:00:00"/>
        <d v="2024-06-10T00:00:00"/>
        <d v="2023-01-13T00:00:00"/>
        <d v="2021-05-12T00:00:00"/>
        <d v="2020-03-14T00:00:00"/>
        <d v="2020-05-31T00:00:00"/>
        <d v="2023-10-29T00:00:00"/>
        <d v="2020-06-08T00:00:00"/>
        <d v="2017-04-26T00:00:00"/>
        <d v="2022-04-19T00:00:00"/>
        <d v="2011-10-13T00:00:00"/>
        <d v="2015-05-24T00:00:00"/>
        <d v="2011-03-22T00:00:00"/>
        <d v="2025-06-08T00:00:00"/>
        <d v="2024-05-10T00:00:00"/>
        <d v="2016-08-24T00:00:00"/>
        <d v="2025-08-12T00:00:00"/>
        <d v="2021-09-10T00:00:00"/>
        <d v="2023-08-29T00:00:00"/>
        <d v="2022-03-07T00:00:00"/>
        <d v="2022-03-14T00:00:00"/>
        <d v="2016-08-29T00:00:00"/>
        <d v="2021-06-05T00:00:00"/>
        <d v="2016-04-07T00:00:00"/>
        <d v="2017-03-23T00:00:00"/>
        <d v="2015-08-21T00:00:00"/>
        <d v="2017-03-18T00:00:00"/>
        <d v="2012-03-30T00:00:00"/>
        <d v="2022-04-14T00:00:00"/>
        <d v="2015-02-20T00:00:00"/>
        <d v="2015-09-19T00:00:00"/>
        <d v="2022-12-08T00:00:00"/>
        <d v="2025-04-12T00:00:00"/>
        <d v="2023-11-12T00:00:00"/>
        <d v="2025-03-09T00:00:00"/>
        <d v="2014-06-22T00:00:00"/>
        <d v="2023-12-21T00:00:00"/>
        <d v="2019-04-13T00:00:00"/>
        <d v="2023-12-25T00:00:00"/>
        <d v="2022-09-08T00:00:00"/>
        <d v="2022-04-02T00:00:00"/>
        <d v="2019-09-21T00:00:00"/>
        <d v="2023-01-06T00:00:00"/>
        <d v="2020-07-09T00:00:00"/>
        <d v="2013-10-01T00:00:00"/>
        <d v="2023-12-26T00:00:00"/>
        <d v="2018-05-09T00:00:00"/>
        <d v="2024-05-03T00:00:00"/>
        <d v="2015-08-27T00:00:00"/>
        <d v="2015-07-03T00:00:00"/>
        <d v="2017-06-02T00:00:00"/>
        <d v="2016-03-03T00:00:00"/>
        <d v="2018-12-15T00:00:00"/>
        <d v="2018-10-16T00:00:00"/>
        <d v="2022-11-17T00:00:00"/>
        <d v="2025-05-29T00:00:00"/>
        <d v="2014-05-31T00:00:00"/>
        <d v="2018-01-16T00:00:00"/>
        <d v="2024-07-05T00:00:00"/>
        <d v="2017-08-13T00:00:00"/>
        <d v="2022-08-05T00:00:00"/>
        <d v="2012-06-18T00:00:00"/>
        <d v="2024-07-09T00:00:00"/>
        <d v="2010-09-02T00:00:00"/>
        <d v="2016-06-11T00:00:00"/>
        <d v="2017-07-31T00:00:00"/>
        <d v="2016-03-05T00:00:00"/>
        <d v="2017-07-14T00:00:00"/>
        <d v="2021-05-21T00:00:00"/>
        <d v="2014-02-14T00:00:00"/>
        <d v="2016-08-22T00:00:00"/>
        <d v="2022-10-22T00:00:00"/>
        <d v="2024-08-06T00:00:00"/>
        <d v="2023-08-20T00:00:00"/>
        <d v="2020-02-09T00:00:00"/>
        <d v="2015-12-05T00:00:00"/>
        <d v="2020-01-20T00:00:00"/>
        <d v="2017-02-04T00:00:00"/>
        <d v="2021-04-19T00:00:00"/>
        <d v="2024-05-16T00:00:00"/>
        <d v="2016-06-19T00:00:00"/>
        <d v="2016-07-23T00:00:00"/>
        <d v="2025-05-11T00:00:00"/>
        <d v="2021-07-27T00:00:00"/>
        <d v="2023-05-01T00:00:00"/>
        <d v="2024-02-24T00:00:00"/>
        <d v="2010-09-21T00:00:00"/>
        <d v="2024-05-11T00:00:00"/>
        <d v="2019-10-27T00:00:00"/>
        <d v="2020-04-12T00:00:00"/>
        <d v="2021-12-14T00:00:00"/>
        <d v="2012-02-26T00:00:00"/>
        <d v="2023-05-13T00:00:00"/>
        <d v="2018-02-08T00:00:00"/>
        <d v="2020-10-03T00:00:00"/>
        <d v="2019-04-18T00:00:00"/>
        <d v="2024-01-05T00:00:00"/>
        <d v="2024-06-05T00:00:00"/>
        <d v="2017-04-06T00:00:00"/>
        <d v="2014-08-30T00:00:00"/>
        <d v="2023-02-04T00:00:00"/>
        <d v="2016-09-29T00:00:00"/>
        <d v="2021-09-25T00:00:00"/>
        <d v="2012-05-12T00:00:00"/>
        <d v="2023-09-05T00:00:00"/>
        <d v="2023-12-18T00:00:00"/>
        <d v="2022-08-15T00:00:00"/>
        <d v="2020-09-27T00:00:00"/>
        <d v="2017-12-14T00:00:00"/>
        <d v="2020-04-05T00:00:00"/>
        <d v="2025-05-03T00:00:00"/>
        <d v="2023-04-08T00:00:00"/>
        <d v="2022-11-13T00:00:00"/>
        <d v="2023-04-05T00:00:00"/>
        <d v="2022-01-11T00:00:00"/>
        <d v="2022-07-05T00:00:00"/>
        <d v="2023-07-14T00:00:00"/>
        <d v="2018-10-22T00:00:00"/>
        <d v="2017-03-09T00:00:00"/>
        <d v="2022-06-26T00:00:00"/>
        <d v="2011-04-17T00:00:00"/>
        <d v="2022-11-27T00:00:00"/>
        <d v="2010-10-14T00:00:00"/>
        <d v="2019-02-05T00:00:00"/>
        <d v="2020-03-13T00:00:00"/>
        <d v="2021-05-28T00:00:00"/>
        <d v="2013-12-21T00:00:00"/>
        <d v="2022-12-20T00:00:00"/>
        <d v="2020-10-11T00:00:00"/>
        <d v="2018-02-01T00:00:00"/>
        <d v="2023-05-31T00:00:00"/>
        <d v="2022-10-28T00:00:00"/>
        <d v="2018-11-01T00:00:00"/>
        <d v="2015-09-20T00:00:00"/>
        <d v="2021-01-26T00:00:00"/>
        <d v="2017-02-03T00:00:00"/>
        <d v="2018-11-13T00:00:00"/>
        <d v="2016-09-09T00:00:00"/>
        <d v="2012-12-07T00:00:00"/>
        <d v="2016-04-14T00:00:00"/>
        <d v="2018-11-11T00:00:00"/>
        <d v="2010-08-29T00:00:00"/>
        <d v="2017-10-28T00:00:00"/>
        <d v="2017-06-14T00:00:00"/>
        <d v="2019-09-29T00:00:00"/>
        <d v="2011-03-08T00:00:00"/>
        <d v="2013-02-06T00:00:00"/>
        <d v="2018-02-10T00:00:00"/>
        <d v="2023-10-24T00:00:00"/>
        <d v="2018-04-21T00:00:00"/>
        <d v="2019-08-03T00:00:00"/>
        <d v="2023-03-26T00:00:00"/>
        <d v="2018-08-22T00:00:00"/>
        <d v="2020-03-04T00:00:00"/>
        <d v="2019-11-07T00:00:00"/>
        <d v="2012-02-13T00:00:00"/>
        <d v="2022-06-29T00:00:00"/>
        <d v="2015-12-10T00:00:00"/>
        <d v="2011-04-22T00:00:00"/>
        <d v="2023-03-28T00:00:00"/>
        <d v="2023-04-15T00:00:00"/>
        <d v="2018-03-24T00:00:00"/>
        <d v="2024-02-09T00:00:00"/>
        <d v="2023-03-10T00:00:00"/>
        <d v="2015-12-23T00:00:00"/>
        <d v="2022-07-02T00:00:00"/>
        <d v="2020-05-20T00:00:00"/>
        <d v="2023-08-30T00:00:00"/>
        <d v="2023-12-13T00:00:00"/>
        <d v="2017-07-02T00:00:00"/>
        <d v="2022-12-23T00:00:00"/>
        <d v="2018-12-28T00:00:00"/>
        <d v="2023-10-16T00:00:00"/>
        <d v="2020-07-18T00:00:00"/>
        <d v="2015-11-01T00:00:00"/>
        <d v="2018-05-02T00:00:00"/>
        <d v="2018-12-12T00:00:00"/>
        <d v="2023-06-13T00:00:00"/>
        <d v="2024-12-26T00:00:00"/>
        <d v="2021-05-01T00:00:00"/>
        <d v="2019-04-15T00:00:00"/>
        <d v="2019-08-25T00:00:00"/>
        <d v="2016-06-29T00:00:00"/>
        <d v="2023-07-11T00:00:00"/>
        <d v="2021-07-24T00:00:00"/>
        <d v="2025-02-07T00:00:00"/>
        <d v="2021-06-07T00:00:00"/>
        <d v="2020-02-24T00:00:00"/>
        <d v="2018-02-25T00:00:00"/>
        <d v="2023-08-09T00:00:00"/>
        <d v="2016-06-27T00:00:00"/>
        <d v="2016-01-25T00:00:00"/>
        <d v="2017-02-25T00:00:00"/>
        <d v="2021-07-22T00:00:00"/>
        <d v="2010-11-13T00:00:00"/>
        <d v="2022-03-15T00:00:00"/>
        <d v="2016-09-28T00:00:00"/>
        <d v="2017-08-03T00:00:00"/>
        <d v="2016-06-09T00:00:00"/>
        <d v="2015-08-23T00:00:00"/>
        <d v="2021-09-26T00:00:00"/>
        <d v="2022-05-31T00:00:00"/>
        <d v="2018-07-12T00:00:00"/>
        <d v="2016-05-23T00:00:00"/>
        <d v="2018-07-30T00:00:00"/>
        <d v="2023-03-02T00:00:00"/>
        <d v="2025-08-09T00:00:00"/>
        <d v="2025-04-15T00:00:00"/>
        <d v="2023-05-18T00:00:00"/>
        <d v="2023-03-03T00:00:00"/>
        <d v="2025-04-13T00:00:00"/>
        <d v="2023-11-18T00:00:00"/>
        <d v="2021-08-09T00:00:00"/>
        <d v="2018-12-26T00:00:00"/>
        <d v="2024-09-15T00:00:00"/>
        <d v="2018-08-04T00:00:00"/>
        <d v="2024-02-25T00:00:00"/>
        <d v="2020-09-19T00:00:00"/>
        <d v="2025-04-29T00:00:00"/>
        <d v="2016-02-26T00:00:00"/>
        <d v="2018-01-17T00:00:00"/>
        <d v="2022-09-07T00:00:00"/>
        <d v="2020-07-02T00:00:00"/>
        <d v="2016-08-08T00:00:00"/>
        <d v="2016-02-04T00:00:00"/>
        <d v="2024-07-11T00:00:00"/>
        <d v="2018-07-07T00:00:00"/>
        <d v="2023-01-20T00:00:00"/>
        <d v="2022-05-02T00:00:00"/>
        <d v="2018-07-09T00:00:00"/>
        <d v="2020-01-01T00:00:00"/>
        <d v="2015-10-20T00:00:00"/>
        <d v="2012-06-02T00:00:00"/>
        <d v="2017-11-08T00:00:00"/>
        <d v="2011-09-12T00:00:00"/>
        <d v="2016-01-12T00:00:00"/>
        <d v="2011-06-28T00:00:00"/>
        <d v="2012-07-19T00:00:00"/>
        <d v="2019-11-14T00:00:00"/>
        <d v="2024-01-20T00:00:00"/>
        <d v="2017-06-28T00:00:00"/>
        <d v="2022-04-03T00:00:00"/>
        <d v="2023-05-16T00:00:00"/>
        <d v="2019-08-11T00:00:00"/>
        <d v="2018-05-07T00:00:00"/>
        <d v="2021-09-29T00:00:00"/>
        <d v="2017-06-22T00:00:00"/>
        <d v="2016-11-15T00:00:00"/>
        <d v="2021-10-03T00:00:00"/>
        <d v="2024-05-13T00:00:00"/>
        <d v="2024-10-23T00:00:00"/>
        <d v="2013-08-19T00:00:00"/>
        <d v="2022-05-25T00:00:00"/>
        <d v="2017-09-21T00:00:00"/>
        <d v="2015-09-26T00:00:00"/>
        <d v="2014-12-16T00:00:00"/>
        <d v="2024-02-05T00:00:00"/>
        <d v="2023-03-16T00:00:00"/>
        <d v="2024-06-19T00:00:00"/>
        <d v="2019-08-30T00:00:00"/>
        <d v="2020-04-18T00:00:00"/>
        <d v="2024-12-21T00:00:00"/>
        <d v="2021-07-20T00:00:00"/>
        <d v="2012-12-15T00:00:00"/>
        <d v="2021-06-02T00:00:00"/>
        <d v="2023-02-22T00:00:00"/>
        <d v="2023-09-15T00:00:00"/>
        <d v="2023-07-17T00:00:00"/>
        <d v="2014-05-07T00:00:00"/>
        <d v="2017-06-25T00:00:00"/>
        <d v="2020-10-16T00:00:00"/>
        <d v="2016-01-17T00:00:00"/>
        <d v="2014-04-23T00:00:00"/>
        <d v="2011-06-14T00:00:00"/>
        <d v="2020-11-11T00:00:00"/>
        <d v="2013-04-09T00:00:00"/>
        <d v="2012-05-30T00:00:00"/>
        <d v="2018-06-06T00:00:00"/>
        <d v="2015-01-20T00:00:00"/>
        <d v="2024-09-21T00:00:00"/>
        <d v="2016-01-09T00:00:00"/>
        <d v="2017-03-08T00:00:00"/>
        <d v="2014-04-05T00:00:00"/>
        <d v="2023-11-22T00:00:00"/>
        <d v="2019-06-26T00:00:00"/>
        <d v="2014-11-21T00:00:00"/>
        <d v="2015-02-05T00:00:00"/>
        <d v="2021-12-25T00:00:00"/>
        <d v="2016-03-14T00:00:00"/>
        <d v="2017-02-13T00:00:00"/>
        <d v="2022-11-14T00:00:00"/>
        <d v="2018-09-20T00:00:00"/>
        <d v="2017-12-07T00:00:00"/>
        <d v="2022-09-18T00:00:00"/>
        <d v="2019-08-18T00:00:00"/>
        <d v="2019-02-08T00:00:00"/>
        <d v="2025-02-19T00:00:00"/>
        <d v="2021-12-30T00:00:00"/>
        <d v="2024-07-08T00:00:00"/>
        <d v="2013-02-23T00:00:00"/>
        <d v="2016-05-11T00:00:00"/>
        <d v="2019-03-02T00:00:00"/>
        <d v="2025-07-24T00:00:00"/>
        <d v="2024-03-23T00:00:00"/>
        <d v="2018-07-22T00:00:00"/>
        <d v="2021-04-09T00:00:00"/>
        <d v="2014-12-23T00:00:00"/>
        <d v="2022-01-20T00:00:00"/>
        <d v="2023-08-10T00:00:00"/>
        <d v="2022-07-16T00:00:00"/>
        <d v="2019-04-22T00:00:00"/>
        <d v="2013-10-24T00:00:00"/>
        <d v="2015-10-18T00:00:00"/>
        <d v="2017-08-01T00:00:00"/>
        <d v="2016-04-18T00:00:00"/>
        <d v="2014-09-28T00:00:00"/>
        <d v="2025-08-06T00:00:00"/>
        <d v="2014-10-28T00:00:00"/>
        <d v="2016-06-30T00:00:00"/>
        <d v="2020-08-17T00:00:00"/>
        <d v="2024-01-03T00:00:00"/>
        <d v="2018-06-29T00:00:00"/>
        <d v="2019-07-20T00:00:00"/>
        <d v="2021-08-26T00:00:00"/>
        <d v="2016-06-25T00:00:00"/>
        <d v="2025-03-14T00:00:00"/>
        <d v="2011-10-23T00:00:00"/>
        <d v="2016-03-23T00:00:00"/>
        <d v="2022-09-15T00:00:00"/>
        <d v="2017-01-04T00:00:00"/>
        <d v="2017-01-09T00:00:00"/>
        <d v="2023-01-16T00:00:00"/>
        <d v="2020-08-30T00:00:00"/>
        <d v="2017-09-26T00:00:00"/>
        <d v="2024-06-02T00:00:00"/>
        <d v="2022-03-25T00:00:00"/>
        <d v="2019-08-02T00:00:00"/>
        <d v="2020-03-02T00:00:00"/>
        <d v="2023-07-01T00:00:00"/>
        <d v="2024-02-28T00:00:00"/>
        <d v="2024-03-02T00:00:00"/>
        <d v="2022-10-23T00:00:00"/>
        <d v="2015-10-04T00:00:00"/>
        <d v="2022-12-27T00:00:00"/>
        <d v="2011-05-21T00:00:00"/>
        <d v="2020-09-06T00:00:00"/>
        <d v="2023-08-02T00:00:00"/>
        <d v="2017-09-14T00:00:00"/>
        <d v="2017-11-12T00:00:00"/>
        <d v="2011-01-21T00:00:00"/>
        <d v="2017-08-09T00:00:00"/>
        <d v="2024-11-12T00:00:00"/>
        <d v="2018-03-03T00:00:00"/>
        <d v="2018-08-24T00:00:00"/>
        <d v="2012-06-10T00:00:00"/>
        <d v="2019-03-27T00:00:00"/>
        <d v="2023-03-13T00:00:00"/>
        <d v="2022-02-16T00:00:00"/>
        <d v="2013-11-04T00:00:00"/>
        <d v="2022-01-06T00:00:00"/>
        <d v="2022-04-24T00:00:00"/>
        <d v="2019-09-11T00:00:00"/>
        <d v="2019-11-15T00:00:00"/>
        <d v="2019-10-01T00:00:00"/>
        <d v="2022-03-02T00:00:00"/>
        <d v="2018-08-27T00:00:00"/>
        <d v="2023-08-07T00:00:00"/>
        <d v="2019-01-09T00:00:00"/>
        <d v="2012-04-26T00:00:00"/>
        <d v="2020-12-27T00:00:00"/>
        <d v="2018-04-19T00:00:00"/>
        <d v="2023-07-04T00:00:00"/>
        <d v="2012-11-17T00:00:00"/>
        <d v="2020-12-14T00:00:00"/>
        <d v="2023-04-14T00:00:00"/>
        <d v="2013-08-23T00:00:00"/>
        <d v="2018-04-18T00:00:00"/>
        <d v="2018-10-30T00:00:00"/>
        <d v="2014-10-16T00:00:00"/>
        <d v="2021-05-04T00:00:00"/>
        <d v="2020-10-05T00:00:00"/>
        <d v="2024-10-02T00:00:00"/>
        <d v="2011-06-08T00:00:00"/>
        <d v="2016-07-18T00:00:00"/>
        <d v="2021-06-20T00:00:00"/>
        <d v="2024-04-02T00:00:00"/>
        <d v="2017-10-24T00:00:00"/>
        <d v="2023-07-20T00:00:00"/>
        <d v="2016-07-22T00:00:00"/>
        <d v="2016-10-28T00:00:00"/>
        <d v="2022-05-13T00:00:00"/>
        <d v="2024-03-30T00:00:00"/>
        <d v="2019-04-26T00:00:00"/>
        <d v="2015-11-13T00:00:00"/>
        <d v="2022-11-10T00:00:00"/>
        <d v="2024-07-14T00:00:00"/>
        <d v="2014-12-20T00:00:00"/>
        <d v="2020-08-13T00:00:00"/>
        <d v="2024-04-26T00:00:00"/>
        <d v="2016-12-25T00:00:00"/>
        <d v="2010-11-08T00:00:00"/>
        <d v="2017-01-13T00:00:00"/>
        <d v="2013-02-21T00:00:00"/>
        <d v="2012-01-14T00:00:00"/>
        <d v="2010-09-14T00:00:00"/>
        <d v="2016-11-20T00:00:00"/>
        <d v="2020-05-24T00:00:00"/>
        <d v="2017-01-27T00:00:00"/>
        <d v="2022-06-02T00:00:00"/>
        <d v="2012-01-19T00:00:00"/>
        <d v="2019-06-06T00:00:00"/>
        <d v="2020-06-18T00:00:00"/>
        <d v="2017-11-27T00:00:00"/>
        <d v="2020-01-30T00:00:00"/>
        <d v="2019-09-16T00:00:00"/>
        <d v="2010-08-28T00:00:00"/>
        <d v="2016-10-25T00:00:00"/>
        <d v="2018-03-31T00:00:00"/>
        <d v="2025-07-30T00:00:00"/>
        <d v="2015-01-30T00:00:00"/>
        <d v="2021-03-18T00:00:00"/>
        <d v="2020-09-01T00:00:00"/>
        <d v="2023-04-21T00:00:00"/>
        <d v="2025-01-04T00:00:00"/>
        <d v="2023-07-22T00:00:00"/>
        <d v="2012-03-17T00:00:00"/>
        <d v="2022-04-21T00:00:00"/>
        <d v="2021-01-15T00:00:00"/>
        <d v="2017-04-15T00:00:00"/>
        <d v="2018-12-21T00:00:00"/>
        <d v="2017-12-15T00:00:00"/>
        <d v="2015-05-20T00:00:00"/>
        <d v="2016-06-12T00:00:00"/>
        <d v="2022-04-18T00:00:00"/>
        <d v="2018-09-30T00:00:00"/>
        <d v="2024-02-04T00:00:00"/>
        <d v="2021-02-09T00:00:00"/>
        <d v="2024-11-18T00:00:00"/>
        <d v="2023-04-27T00:00:00"/>
        <d v="2022-07-03T00:00:00"/>
        <d v="2018-03-15T00:00:00"/>
        <d v="2017-07-18T00:00:00"/>
        <d v="2015-02-28T00:00:00"/>
        <d v="2021-11-21T00:00:00"/>
        <d v="2017-06-27T00:00:00"/>
        <d v="2015-09-01T00:00:00"/>
        <d v="2021-07-03T00:00:00"/>
        <d v="2018-06-05T00:00:00"/>
        <d v="2022-12-30T00:00:00"/>
        <d v="2011-09-14T00:00:00"/>
        <d v="2025-07-28T00:00:00"/>
        <d v="2021-07-13T00:00:00"/>
        <d v="2017-06-01T00:00:00"/>
        <d v="2022-08-11T00:00:00"/>
        <d v="2023-06-28T00:00:00"/>
        <d v="2019-01-24T00:00:00"/>
        <d v="2016-08-28T00:00:00"/>
        <d v="2018-03-27T00:00:00"/>
        <d v="2018-04-14T00:00:00"/>
        <d v="2024-03-10T00:00:00"/>
        <d v="2020-09-28T00:00:00"/>
        <d v="2023-01-07T00:00:00"/>
        <d v="2024-08-02T00:00:00"/>
        <d v="2024-08-31T00:00:00"/>
        <d v="2020-07-23T00:00:00"/>
        <d v="2017-01-28T00:00:00"/>
        <d v="2019-12-01T00:00:00"/>
        <d v="2024-08-24T00:00:00"/>
        <d v="2024-05-06T00:00:00"/>
        <d v="2022-11-03T00:00:00"/>
        <d v="2020-04-28T00:00:00"/>
        <d v="2018-01-29T00:00:00"/>
        <d v="2015-11-05T00:00:00"/>
        <d v="2024-10-29T00:00:00"/>
        <d v="2022-12-22T00:00:00"/>
        <d v="2022-08-24T00:00:00"/>
        <d v="2023-04-18T00:00:00"/>
        <d v="2023-06-01T00:00:00"/>
        <d v="2020-12-06T00:00:00"/>
        <d v="2021-08-19T00:00:00"/>
        <d v="2024-09-26T00:00:00"/>
        <d v="2018-09-18T00:00:00"/>
        <d v="2017-03-11T00:00:00"/>
        <d v="2023-01-25T00:00:00"/>
        <d v="2017-07-04T00:00:00"/>
        <d v="2021-01-24T00:00:00"/>
        <d v="2023-10-27T00:00:00"/>
        <d v="2021-08-01T00:00:00"/>
        <d v="2019-08-29T00:00:00"/>
        <d v="2016-02-08T00:00:00"/>
        <d v="2018-08-12T00:00:00"/>
        <d v="2018-02-09T00:00:00"/>
        <d v="2016-04-29T00:00:00"/>
        <d v="2017-09-13T00:00:00"/>
        <d v="2017-07-10T00:00:00"/>
        <d v="2023-01-04T00:00:00"/>
        <d v="2022-02-14T00:00:00"/>
        <d v="2018-02-24T00:00:00"/>
        <d v="2025-06-19T00:00:00"/>
        <d v="2020-04-03T00:00:00"/>
        <d v="2023-10-13T00:00:00"/>
        <d v="2023-06-14T00:00:00"/>
        <d v="2012-08-19T00:00:00"/>
        <d v="2017-10-09T00:00:00"/>
        <d v="2018-09-26T00:00:00"/>
        <d v="2019-03-21T00:00:00"/>
        <d v="2022-10-24T00:00:00"/>
        <d v="2023-08-27T00:00:00"/>
        <d v="2015-09-18T00:00:00"/>
        <d v="2023-06-26T00:00:00"/>
        <d v="2017-02-10T00:00:00"/>
        <d v="2019-10-21T00:00:00"/>
        <d v="2024-05-14T00:00:00"/>
        <d v="2023-06-04T00:00:00"/>
        <d v="2023-05-27T00:00:00"/>
        <d v="2021-02-24T00:00:00"/>
        <d v="2022-01-07T00:00:00"/>
        <d v="2025-04-14T00:00:00"/>
        <d v="2025-01-02T00:00:00"/>
        <d v="2021-01-21T00:00:00"/>
        <d v="2015-10-06T00:00:00"/>
        <d v="2022-01-17T00:00:00"/>
        <d v="2023-05-08T00:00:00"/>
        <d v="2017-08-25T00:00:00"/>
        <d v="2018-03-08T00:00:00"/>
        <d v="2016-01-11T00:00:00"/>
        <d v="2018-10-29T00:00:00"/>
        <d v="2015-05-02T00:00:00"/>
        <d v="2018-08-19T00:00:00"/>
        <d v="2016-03-01T00:00:00"/>
        <d v="2014-12-18T00:00:00"/>
        <d v="2013-11-01T00:00:00"/>
        <d v="2019-07-06T00:00:00"/>
        <d v="2018-11-03T00:00:00"/>
        <d v="2013-08-11T00:00:00"/>
        <d v="2024-06-25T00:00:00"/>
        <d v="2025-02-08T00:00:00"/>
        <d v="2019-10-25T00:00:00"/>
        <d v="2011-10-01T00:00:00"/>
        <d v="2025-04-10T00:00:00"/>
        <d v="2011-01-09T00:00:00"/>
        <d v="2015-06-25T00:00:00"/>
        <d v="2021-06-16T00:00:00"/>
        <d v="2021-07-30T00:00:00"/>
        <d v="2017-01-20T00:00:00"/>
        <d v="2024-03-17T00:00:00"/>
        <d v="2017-03-29T00:00:00"/>
        <d v="2022-03-23T00:00:00"/>
        <d v="2023-09-09T00:00:00"/>
        <d v="2020-11-15T00:00:00"/>
        <d v="2025-03-19T00:00:00"/>
        <d v="2021-04-22T00:00:00"/>
        <d v="2023-06-23T00:00:00"/>
        <d v="2024-01-04T00:00:00"/>
        <d v="2019-06-25T00:00:00"/>
        <d v="2019-04-25T00:00:00"/>
        <d v="2023-12-23T00:00:00"/>
        <d v="2010-10-19T00:00:00"/>
        <d v="2021-04-15T00:00:00"/>
        <d v="2020-11-06T00:00:00"/>
        <d v="2011-05-17T00:00:00"/>
        <d v="2024-08-03T00:00:00"/>
        <d v="2015-09-29T00:00:00"/>
        <d v="2017-12-28T00:00:00"/>
        <d v="2022-02-19T00:00:00"/>
        <d v="2019-07-12T00:00:00"/>
        <d v="2024-07-30T00:00:00"/>
        <d v="2018-10-10T00:00:00"/>
        <d v="2020-10-08T00:00:00"/>
        <d v="2012-12-13T00:00:00"/>
        <d v="2011-09-06T00:00:00"/>
        <d v="2013-05-13T00:00:00"/>
        <d v="2014-06-01T00:00:00"/>
        <d v="2017-01-29T00:00:00"/>
        <d v="2022-02-01T00:00:00"/>
        <d v="2024-09-02T00:00:00"/>
        <d v="2017-01-26T00:00:00"/>
        <d v="2019-02-23T00:00:00"/>
        <d v="2023-08-13T00:00:00"/>
        <d v="2016-06-14T00:00:00"/>
        <d v="2024-08-04T00:00:00"/>
        <d v="2018-06-01T00:00:00"/>
        <d v="2012-05-06T00:00:00"/>
        <d v="2021-09-21T00:00:00"/>
        <d v="2016-03-08T00:00:00"/>
        <d v="2021-02-21T00:00:00"/>
        <d v="2025-03-15T00:00:00"/>
        <d v="2014-10-21T00:00:00"/>
        <d v="2018-12-24T00:00:00"/>
        <d v="2025-06-06T00:00:00"/>
        <d v="2021-03-25T00:00:00"/>
        <d v="2021-12-08T00:00:00"/>
        <d v="2015-01-21T00:00:00"/>
        <d v="2021-10-10T00:00:00"/>
        <d v="2019-11-16T00:00:00"/>
        <d v="2018-06-30T00:00:00"/>
        <d v="2012-01-10T00:00:00"/>
        <d v="2017-02-01T00:00:00"/>
        <d v="2017-07-29T00:00:00"/>
        <d v="2020-09-14T00:00:00"/>
        <d v="2016-12-02T00:00:00"/>
        <d v="2021-05-23T00:00:00"/>
        <d v="2013-09-03T00:00:00"/>
        <d v="2016-03-25T00:00:00"/>
        <d v="2020-12-13T00:00:00"/>
        <d v="2023-02-23T00:00:00"/>
        <d v="2024-11-14T00:00:00"/>
        <d v="2025-01-27T00:00:00"/>
        <d v="2023-11-27T00:00:00"/>
        <d v="2020-01-22T00:00:00"/>
        <d v="2012-03-18T00:00:00"/>
        <d v="2019-01-01T00:00:00"/>
        <d v="2017-08-27T00:00:00"/>
        <d v="2022-09-24T00:00:00"/>
        <d v="2019-07-17T00:00:00"/>
        <d v="2023-12-05T00:00:00"/>
        <d v="2016-10-19T00:00:00"/>
        <d v="2025-05-31T00:00:00"/>
        <d v="2024-11-16T00:00:00"/>
        <d v="2018-06-07T00:00:00"/>
        <d v="2022-12-05T00:00:00"/>
        <d v="2023-02-19T00:00:00"/>
        <d v="2012-05-27T00:00:00"/>
        <d v="2016-09-13T00:00:00"/>
        <d v="2014-10-06T00:00:00"/>
        <d v="2020-04-23T00:00:00"/>
        <d v="2021-11-15T00:00:00"/>
        <d v="2025-05-09T00:00:00"/>
        <d v="2017-02-09T00:00:00"/>
        <d v="2020-01-31T00:00:00"/>
        <d v="2023-04-06T00:00:00"/>
        <d v="2016-02-06T00:00:00"/>
        <d v="2019-09-02T00:00:00"/>
        <d v="2023-09-01T00:00:00"/>
        <d v="2015-08-10T00:00:00"/>
        <d v="2023-02-26T00:00:00"/>
        <d v="2017-03-01T00:00:00"/>
        <d v="2016-05-27T00:00:00"/>
        <d v="2020-10-04T00:00:00"/>
        <d v="2022-05-27T00:00:00"/>
        <d v="2012-11-09T00:00:00"/>
        <d v="2021-04-30T00:00:00"/>
        <d v="2016-01-16T00:00:00"/>
        <d v="2021-03-17T00:00:00"/>
        <d v="2014-05-19T00:00:00"/>
        <d v="2018-03-26T00:00:00"/>
        <d v="2010-12-09T00:00:00"/>
        <d v="2018-08-31T00:00:00"/>
        <d v="2016-06-04T00:00:00"/>
        <d v="2016-11-18T00:00:00"/>
        <d v="2017-09-28T00:00:00"/>
        <d v="2024-02-07T00:00:00"/>
        <d v="2018-11-09T00:00:00"/>
        <d v="2015-03-24T00:00:00"/>
        <d v="2017-12-16T00:00:00"/>
        <d v="2011-12-01T00:00:00"/>
        <d v="2022-05-01T00:00:00"/>
        <d v="2023-02-18T00:00:00"/>
        <d v="2023-04-09T00:00:00"/>
        <d v="2016-12-29T00:00:00"/>
        <d v="2024-05-22T00:00:00"/>
        <d v="2023-05-05T00:00:00"/>
        <d v="2015-10-22T00:00:00"/>
        <d v="2021-11-17T00:00:00"/>
        <d v="2018-06-03T00:00:00"/>
        <d v="2017-08-07T00:00:00"/>
        <d v="2018-04-20T00:00:00"/>
        <d v="2024-05-24T00:00:00"/>
        <d v="2017-12-26T00:00:00"/>
        <d v="2015-06-07T00:00:00"/>
        <d v="2020-05-15T00:00:00"/>
        <d v="2019-08-22T00:00:00"/>
        <d v="2025-05-27T00:00:00"/>
        <d v="2024-11-17T00:00:00"/>
        <d v="2025-02-24T00:00:00"/>
        <d v="2022-03-06T00:00:00"/>
        <d v="2025-03-03T00:00:00"/>
        <d v="2020-05-29T00:00:00"/>
        <d v="2021-04-07T00:00:00"/>
        <d v="2024-12-27T00:00:00"/>
        <d v="2017-12-04T00:00:00"/>
        <d v="2019-06-01T00:00:00"/>
        <d v="2015-05-28T00:00:00"/>
        <d v="2019-12-04T00:00:00"/>
        <d v="2017-03-05T00:00:00"/>
        <d v="2019-07-21T00:00:00"/>
        <d v="2021-08-14T00:00:00"/>
        <d v="2023-05-07T00:00:00"/>
        <d v="2024-10-22T00:00:00"/>
        <d v="2014-09-16T00:00:00"/>
        <d v="2024-08-23T00:00:00"/>
        <d v="2023-11-10T00:00:00"/>
        <d v="2022-03-11T00:00:00"/>
        <d v="2019-02-09T00:00:00"/>
        <d v="2012-10-11T00:00:00"/>
        <d v="2025-01-05T00:00:00"/>
        <d v="2014-10-18T00:00:00"/>
        <d v="2016-12-30T00:00:00"/>
        <d v="2014-09-10T00:00:00"/>
        <d v="2021-02-12T00:00:00"/>
        <d v="2013-08-22T00:00:00"/>
        <d v="2023-02-07T00:00:00"/>
        <d v="2018-01-31T00:00:00"/>
        <d v="2010-09-07T00:00:00"/>
        <d v="2016-03-27T00:00:00"/>
        <d v="2023-12-03T00:00:00"/>
        <d v="2013-06-15T00:00:00"/>
        <d v="2011-07-15T00:00:00"/>
        <d v="2020-01-21T00:00:00"/>
        <d v="2012-11-12T00:00:00"/>
        <d v="2019-11-30T00:00:00"/>
        <d v="2020-07-06T00:00:00"/>
        <d v="2020-07-30T00:00:00"/>
        <d v="2016-01-27T00:00:00"/>
        <d v="2025-01-03T00:00:00"/>
        <d v="2024-06-21T00:00:00"/>
        <d v="2019-12-10T00:00:00"/>
        <d v="2014-05-26T00:00:00"/>
        <d v="2024-01-21T00:00:00"/>
        <d v="2021-08-02T00:00:00"/>
        <d v="2020-03-16T00:00:00"/>
        <d v="2022-07-20T00:00:00"/>
        <d v="2015-05-27T00:00:00"/>
        <d v="2023-07-08T00:00:00"/>
        <d v="2024-04-25T00:00:00"/>
        <d v="2023-02-11T00:00:00"/>
        <d v="2020-03-23T00:00:00"/>
        <d v="2023-05-14T00:00:00"/>
        <d v="2022-10-02T00:00:00"/>
        <d v="2021-01-05T00:00:00"/>
        <d v="2019-05-17T00:00:00"/>
        <d v="2011-01-27T00:00:00"/>
        <d v="2015-02-01T00:00:00"/>
        <d v="2021-12-15T00:00:00"/>
        <d v="2025-01-10T00:00:00"/>
        <d v="2019-08-01T00:00:00"/>
        <d v="2020-02-12T00:00:00"/>
        <d v="2024-10-14T00:00:00"/>
        <d v="2021-02-25T00:00:00"/>
        <d v="2012-07-04T00:00:00"/>
        <d v="2024-12-03T00:00:00"/>
        <d v="2014-03-05T00:00:00"/>
        <d v="2023-01-03T00:00:00"/>
        <d v="2025-02-27T00:00:00"/>
        <d v="2021-03-29T00:00:00"/>
        <d v="2024-01-15T00:00:00"/>
        <d v="2015-12-22T00:00:00"/>
        <d v="2023-10-15T00:00:00"/>
        <d v="2018-06-13T00:00:00"/>
        <d v="2017-12-13T00:00:00"/>
        <d v="2022-08-03T00:00:00"/>
        <d v="2022-01-19T00:00:00"/>
        <d v="2025-07-20T00:00:00"/>
        <d v="2022-02-04T00:00:00"/>
        <d v="2013-10-29T00:00:00"/>
        <d v="2016-05-28T00:00:00"/>
        <d v="2011-11-26T00:00:00"/>
        <d v="2011-08-06T00:00:00"/>
        <d v="2025-07-07T00:00:00"/>
        <d v="2015-09-02T00:00:00"/>
        <d v="2024-08-30T00:00:00"/>
        <d v="2020-05-11T00:00:00"/>
        <d v="2019-11-29T00:00:00"/>
        <d v="2025-01-29T00:00:00"/>
        <d v="2022-11-06T00:00:00"/>
        <d v="2011-11-01T00:00:00"/>
        <d v="2024-02-17T00:00:00"/>
        <d v="2016-01-22T00:00:00"/>
        <d v="2022-06-16T00:00:00"/>
        <d v="2019-02-02T00:00:00"/>
        <d v="2018-05-21T00:00:00"/>
        <d v="2021-12-28T00:00:00"/>
        <d v="2018-09-29T00:00:00"/>
        <d v="2022-04-27T00:00:00"/>
        <d v="2019-05-26T00:00:00"/>
        <d v="2014-01-09T00:00:00"/>
        <d v="2016-08-01T00:00:00"/>
        <d v="2017-02-17T00:00:00"/>
        <d v="2020-08-15T00:00:00"/>
        <d v="2021-02-11T00:00:00"/>
        <d v="2023-08-06T00:00:00"/>
        <d v="2018-07-19T00:00:00"/>
        <d v="2016-08-19T00:00:00"/>
        <d v="2021-09-03T00:00:00"/>
        <d v="2024-10-10T00:00:00"/>
        <d v="2017-10-27T00:00:00"/>
        <d v="2023-01-21T00:00:00"/>
        <d v="2017-05-17T00:00:00"/>
        <d v="2011-05-31T00:00:00"/>
        <d v="2022-07-27T00:00:00"/>
        <d v="2019-01-12T00:00:00"/>
        <d v="2020-11-20T00:00:00"/>
        <d v="2021-12-18T00:00:00"/>
        <d v="2015-06-21T00:00:00"/>
        <d v="2019-12-28T00:00:00"/>
        <d v="2017-04-21T00:00:00"/>
        <d v="2017-05-05T00:00:00"/>
        <d v="2019-03-04T00:00:00"/>
        <d v="2021-01-18T00:00:00"/>
        <d v="2023-03-22T00:00:00"/>
        <d v="2015-11-16T00:00:00"/>
        <d v="2021-02-27T00:00:00"/>
        <d v="2020-06-21T00:00:00"/>
        <d v="2020-10-07T00:00:00"/>
        <d v="2019-05-02T00:00:00"/>
        <d v="2021-12-02T00:00:00"/>
        <d v="2020-07-27T00:00:00"/>
        <d v="2016-05-03T00:00:00"/>
        <d v="2020-06-15T00:00:00"/>
        <d v="2017-08-24T00:00:00"/>
        <d v="2015-04-08T00:00:00"/>
        <d v="2021-06-27T00:00:00"/>
        <d v="2016-06-15T00:00:00"/>
        <d v="2019-07-16T00:00:00"/>
        <d v="2022-04-05T00:00:00"/>
        <d v="2015-03-08T00:00:00"/>
        <d v="2023-12-16T00:00:00"/>
        <d v="2025-04-08T00:00:00"/>
        <d v="2020-08-18T00:00:00"/>
        <d v="2015-11-25T00:00:00"/>
        <d v="2017-04-28T00:00:00"/>
        <d v="2016-04-19T00:00:00"/>
        <d v="2023-02-27T00:00:00"/>
        <d v="2015-12-04T00:00:00"/>
        <d v="2025-06-12T00:00:00"/>
        <d v="2021-09-24T00:00:00"/>
        <d v="2018-10-08T00:00:00"/>
        <d v="2010-12-27T00:00:00"/>
        <d v="2020-01-04T00:00:00"/>
        <d v="2021-03-21T00:00:00"/>
        <d v="2015-03-20T00:00:00"/>
        <d v="2025-05-26T00:00:00"/>
        <d v="2023-05-30T00:00:00"/>
        <d v="2016-08-06T00:00:00"/>
        <d v="2022-08-02T00:00:00"/>
        <d v="2017-04-30T00:00:00"/>
        <d v="2021-06-23T00:00:00"/>
        <d v="2024-08-19T00:00:00"/>
        <d v="2012-05-02T00:00:00"/>
        <d v="2022-02-09T00:00:00"/>
        <d v="2025-07-13T00:00:00"/>
        <d v="2021-06-12T00:00:00"/>
        <d v="2025-01-28T00:00:00"/>
        <d v="2014-03-03T00:00:00"/>
        <d v="2011-01-17T00:00:00"/>
        <d v="2024-02-10T00:00:00"/>
        <d v="2011-11-17T00:00:00"/>
        <d v="2023-06-02T00:00:00"/>
        <d v="2019-02-16T00:00:00"/>
        <d v="2018-03-19T00:00:00"/>
        <d v="2024-09-17T00:00:00"/>
        <d v="2021-11-25T00:00:00"/>
        <d v="2016-12-09T00:00:00"/>
        <d v="2016-10-11T00:00:00"/>
        <d v="2017-03-17T00:00:00"/>
        <d v="2011-09-23T00:00:00"/>
        <d v="2015-09-24T00:00:00"/>
        <d v="2019-06-16T00:00:00"/>
        <d v="2012-10-16T00:00:00"/>
        <d v="2017-03-04T00:00:00"/>
        <d v="2014-11-03T00:00:00"/>
        <d v="2020-02-17T00:00:00"/>
        <d v="2011-12-06T00:00:00"/>
        <d v="2019-09-13T00:00:00"/>
        <d v="2017-08-29T00:00:00"/>
        <d v="2017-08-21T00:00:00"/>
        <d v="2017-12-29T00:00:00"/>
        <d v="2023-12-29T00:00:00"/>
        <d v="2023-07-24T00:00:00"/>
        <d v="2017-04-08T00:00:00"/>
        <d v="2024-12-23T00:00:00"/>
        <d v="2013-10-22T00:00:00"/>
        <d v="2024-09-30T00:00:00"/>
        <d v="2012-07-20T00:00:00"/>
        <d v="2022-08-26T00:00:00"/>
        <d v="2012-09-14T00:00:00"/>
        <d v="2024-01-10T00:00:00"/>
        <d v="2022-08-19T00:00:00"/>
        <d v="2014-01-17T00:00:00"/>
        <d v="2018-03-28T00:00:00"/>
        <d v="2016-07-19T00:00:00"/>
        <d v="2025-06-09T00:00:00"/>
        <d v="2016-09-21T00:00:00"/>
        <d v="2014-02-12T00:00:00"/>
        <d v="2021-01-27T00:00:00"/>
        <d v="2014-11-08T00:00:00"/>
        <d v="2016-09-08T00:00:00"/>
        <d v="2016-01-02T00:00:00"/>
        <d v="2021-07-15T00:00:00"/>
        <d v="2021-02-04T00:00:00"/>
        <d v="2021-02-03T00:00:00"/>
        <d v="2023-02-28T00:00:00"/>
        <d v="2024-11-01T00:00:00"/>
        <d v="2021-08-16T00:00:00"/>
        <d v="2018-08-10T00:00:00"/>
        <d v="2025-01-17T00:00:00"/>
        <d v="2014-04-20T00:00:00"/>
        <d v="2023-09-10T00:00:00"/>
        <d v="2021-05-19T00:00:00"/>
        <d v="2020-09-11T00:00:00"/>
        <d v="2024-07-06T00:00:00"/>
        <d v="2016-04-16T00:00:00"/>
        <d v="2023-02-20T00:00:00"/>
        <d v="2019-09-30T00:00:00"/>
        <d v="2020-02-23T00:00:00"/>
        <d v="2016-05-08T00:00:00"/>
        <d v="2014-07-20T00:00:00"/>
        <d v="2025-05-08T00:00:00"/>
        <d v="2020-08-01T00:00:00"/>
        <d v="2023-01-24T00:00:00"/>
        <d v="2022-07-17T00:00:00"/>
        <d v="2019-08-10T00:00:00"/>
        <d v="2016-08-02T00:00:00"/>
        <d v="2018-08-09T00:00:00"/>
        <d v="2021-12-23T00:00:00"/>
        <d v="2016-10-09T00:00:00"/>
        <d v="2017-10-22T00:00:00"/>
        <d v="2017-08-05T00:00:00"/>
        <d v="2023-05-04T00:00:00"/>
        <d v="2012-06-25T00:00:00"/>
        <d v="2017-05-02T00:00:00"/>
        <d v="2024-05-01T00:00:00"/>
        <d v="2017-04-13T00:00:00"/>
        <d v="2013-11-12T00:00:00"/>
        <d v="2016-01-08T00:00:00"/>
        <d v="2021-05-16T00:00:00"/>
        <d v="2020-11-25T00:00:00"/>
        <d v="2020-02-27T00:00:00"/>
        <d v="2024-06-23T00:00:00"/>
        <d v="2018-10-20T00:00:00"/>
        <d v="2021-11-24T00:00:00"/>
        <d v="2019-02-03T00:00:00"/>
        <d v="2022-11-28T00:00:00"/>
        <d v="2018-10-01T00:00:00"/>
        <d v="2025-07-03T00:00:00"/>
        <d v="2015-02-11T00:00:00"/>
        <d v="2021-02-15T00:00:00"/>
        <d v="2010-10-20T00:00:00"/>
        <d v="2020-05-19T00:00:00"/>
        <d v="2019-07-15T00:00:00"/>
        <d v="2023-10-01T00:00:00"/>
        <d v="2017-05-20T00:00:00"/>
        <d v="2025-04-09T00:00:00"/>
        <d v="2023-12-07T00:00:00"/>
        <d v="2020-05-23T00:00:00"/>
        <d v="2019-06-12T00:00:00"/>
        <d v="2014-02-07T00:00:00"/>
        <d v="2023-04-11T00:00:00"/>
        <d v="2010-12-07T00:00:00"/>
        <d v="2018-06-19T00:00:00"/>
        <d v="2014-08-07T00:00:00"/>
        <d v="2023-07-25T00:00:00"/>
        <d v="2015-12-07T00:00:00"/>
        <d v="2023-10-14T00:00:00"/>
        <d v="2016-11-06T00:00:00"/>
        <d v="2018-07-25T00:00:00"/>
        <d v="2013-01-29T00:00:00"/>
        <d v="2019-10-11T00:00:00"/>
        <d v="2017-10-13T00:00:00"/>
        <d v="2022-10-08T00:00:00"/>
        <d v="2016-12-20T00:00:00"/>
        <d v="2019-10-04T00:00:00"/>
        <d v="2021-07-29T00:00:00"/>
        <d v="2016-10-27T00:00:00"/>
        <d v="2012-04-20T00:00:00"/>
        <d v="2024-04-23T00:00:00"/>
        <d v="2025-01-22T00:00:00"/>
        <d v="2019-01-16T00:00:00"/>
        <d v="2020-10-25T00:00:00"/>
        <d v="2020-06-05T00:00:00"/>
        <d v="2022-07-13T00:00:00"/>
        <d v="2017-04-18T00:00:00"/>
        <d v="2012-12-09T00:00:00"/>
        <d v="2019-12-22T00:00:00"/>
        <d v="2023-01-15T00:00:00"/>
        <d v="2016-11-30T00:00:00"/>
        <d v="2016-01-24T00:00:00"/>
        <d v="2017-01-19T00:00:00"/>
        <d v="2024-11-07T00:00:00"/>
        <d v="2021-07-11T00:00:00"/>
        <d v="2025-01-21T00:00:00"/>
        <d v="2020-03-31T00:00:00"/>
        <d v="2017-05-10T00:00:00"/>
        <d v="2016-10-02T00:00:00"/>
        <d v="2022-04-17T00:00:00"/>
        <d v="2019-06-15T00:00:00"/>
        <d v="2015-11-24T00:00:00"/>
        <d v="2013-06-23T00:00:00"/>
        <d v="2018-10-13T00:00:00"/>
        <d v="2015-12-27T00:00:00"/>
        <d v="2024-05-20T00:00:00"/>
        <d v="2025-05-10T00:00:00"/>
        <d v="2022-03-04T00:00:00"/>
        <d v="2022-05-05T00:00:00"/>
        <d v="2012-02-28T00:00:00"/>
        <d v="2022-09-05T00:00:00"/>
        <d v="2019-11-04T00:00:00"/>
        <d v="2020-10-30T00:00:00"/>
        <d v="2016-05-21T00:00:00"/>
        <d v="2014-03-31T00:00:00"/>
        <d v="2024-10-24T00:00:00"/>
        <d v="2023-05-20T00:00:00"/>
        <d v="2022-01-26T00:00:00"/>
        <d v="2013-01-01T00:00:00"/>
        <d v="2015-07-06T00:00:00"/>
        <d v="2018-04-25T00:00:00"/>
        <d v="2013-07-02T00:00:00"/>
        <d v="2017-06-13T00:00:00"/>
        <d v="2023-05-02T00:00:00"/>
        <d v="2019-05-27T00:00:00"/>
        <d v="2019-04-07T00:00:00"/>
        <d v="2019-08-23T00:00:00"/>
        <d v="2019-05-06T00:00:00"/>
        <d v="2023-03-07T00:00:00"/>
        <d v="2024-08-27T00:00:00"/>
        <d v="2013-06-17T00:00:00"/>
        <d v="2017-09-24T00:00:00"/>
        <d v="2016-08-17T00:00:00"/>
        <d v="2019-07-14T00:00:00"/>
        <d v="2021-03-26T00:00:00"/>
        <d v="2018-07-14T00:00:00"/>
        <d v="2025-07-09T00:00:00"/>
        <d v="2020-11-14T00:00:00"/>
        <d v="2019-07-23T00:00:00"/>
        <d v="2021-09-06T00:00:00"/>
        <d v="2020-09-17T00:00:00"/>
        <d v="2024-09-07T00:00:00"/>
        <d v="2017-09-09T00:00:00"/>
        <d v="2025-06-29T00:00:00"/>
        <d v="2021-05-05T00:00:00"/>
        <d v="2017-06-11T00:00:00"/>
        <d v="2018-08-25T00:00:00"/>
        <d v="2015-01-22T00:00:00"/>
        <d v="2011-11-05T00:00:00"/>
        <d v="2020-10-15T00:00:00"/>
        <d v="2024-08-10T00:00:00"/>
        <d v="2012-08-25T00:00:00"/>
        <d v="2025-02-04T00:00:00"/>
        <d v="2017-04-20T00:00:00"/>
        <d v="2022-08-25T00:00:00"/>
        <d v="2023-10-09T00:00:00"/>
        <d v="2020-07-24T00:00:00"/>
        <d v="2022-02-11T00:00:00"/>
        <d v="2023-07-23T00:00:00"/>
        <d v="2020-04-27T00:00:00"/>
        <d v="2017-07-09T00:00:00"/>
        <d v="2020-09-30T00:00:00"/>
        <d v="2025-03-26T00:00:00"/>
        <d v="2019-01-17T00:00:00"/>
        <d v="2020-09-13T00:00:00"/>
        <d v="2017-02-06T00:00:00"/>
        <d v="2025-03-28T00:00:00"/>
        <d v="2020-11-22T00:00:00"/>
        <d v="2023-07-29T00:00:00"/>
        <d v="2011-03-07T00:00:00"/>
        <d v="2024-10-13T00:00:00"/>
        <d v="2022-06-04T00:00:00"/>
        <d v="2020-06-20T00:00:00"/>
        <d v="2021-04-11T00:00:00"/>
        <d v="2023-08-05T00:00:00"/>
        <d v="2021-12-19T00:00:00"/>
        <d v="2020-08-12T00:00:00"/>
        <d v="2017-06-29T00:00:00"/>
        <d v="2021-04-12T00:00:00"/>
        <d v="2022-10-26T00:00:00"/>
        <d v="2019-11-19T00:00:00"/>
        <d v="2020-02-02T00:00:00"/>
        <d v="2016-01-30T00:00:00"/>
        <d v="2022-11-09T00:00:00"/>
        <d v="2012-10-26T00:00:00"/>
        <d v="2022-07-11T00:00:00"/>
        <d v="2018-03-06T00:00:00"/>
        <d v="2012-10-27T00:00:00"/>
        <d v="2017-03-22T00:00:00"/>
        <d v="2014-12-04T00:00:00"/>
        <d v="2014-11-16T00:00:00"/>
        <d v="2024-10-30T00:00:00"/>
        <d v="2019-03-05T00:00:00"/>
        <d v="2025-05-07T00:00:00"/>
        <d v="2017-04-23T00:00:00"/>
        <d v="2024-08-26T00:00:00"/>
        <d v="2018-07-03T00:00:00"/>
        <d v="2017-07-22T00:00:00"/>
        <d v="2019-04-24T00:00:00"/>
        <d v="2013-07-09T00:00:00"/>
        <d v="2021-01-07T00:00:00"/>
        <d v="2022-12-17T00:00:00"/>
        <d v="2014-02-13T00:00:00"/>
        <d v="2024-10-08T00:00:00"/>
        <d v="2011-03-28T00:00:00"/>
        <d v="2016-01-29T00:00:00"/>
        <d v="2022-11-11T00:00:00"/>
        <d v="2015-09-30T00:00:00"/>
        <d v="2024-08-07T00:00:00"/>
        <d v="2024-10-27T00:00:00"/>
        <d v="2024-03-07T00:00:00"/>
        <d v="2024-08-17T00:00:00"/>
        <d v="2011-09-22T00:00:00"/>
        <d v="2024-09-18T00:00:00"/>
        <d v="2014-02-03T00:00:00"/>
        <d v="2025-04-11T00:00:00"/>
        <d v="2020-07-19T00:00:00"/>
        <d v="2022-08-01T00:00:00"/>
        <d v="2019-10-08T00:00:00"/>
        <d v="2019-10-13T00:00:00"/>
        <d v="2019-03-08T00:00:00"/>
        <d v="2024-11-09T00:00:00"/>
        <d v="2019-08-09T00:00:00"/>
        <d v="2024-08-28T00:00:00"/>
        <d v="2010-11-02T00:00:00"/>
        <d v="2018-03-30T00:00:00"/>
        <d v="2018-01-26T00:00:00"/>
        <d v="2015-12-11T00:00:00"/>
        <d v="2014-06-21T00:00:00"/>
        <d v="2013-01-16T00:00:00"/>
        <d v="2017-05-03T00:00:00"/>
        <d v="2025-03-21T00:00:00"/>
        <d v="2024-04-06T00:00:00"/>
        <d v="2019-05-16T00:00:00"/>
        <d v="2019-09-01T00:00:00"/>
        <d v="2020-12-07T00:00:00"/>
        <d v="2022-03-13T00:00:00"/>
        <d v="2024-06-26T00:00:00"/>
        <d v="2017-03-14T00:00:00"/>
        <d v="2023-03-04T00:00:00"/>
        <d v="2013-01-09T00:00:00"/>
        <d v="2025-07-14T00:00:00"/>
        <d v="2025-06-22T00:00:00"/>
        <d v="2014-08-10T00:00:00"/>
        <d v="2020-10-06T00:00:00"/>
        <d v="2020-08-19T00:00:00"/>
        <d v="2013-04-01T00:00:00"/>
        <d v="2019-05-13T00:00:00"/>
        <d v="2013-07-19T00:00:00"/>
        <d v="2021-06-10T00:00:00"/>
        <d v="2016-01-23T00:00:00"/>
        <d v="2015-12-06T00:00:00"/>
        <d v="2019-04-11T00:00:00"/>
        <d v="2023-12-10T00:00:00"/>
        <d v="2023-12-30T00:00:00"/>
        <d v="2020-03-26T00:00:00"/>
        <d v="2017-05-12T00:00:00"/>
        <d v="2019-12-06T00:00:00"/>
        <d v="2015-12-20T00:00:00"/>
        <d v="2022-07-09T00:00:00"/>
        <d v="2023-07-15T00:00:00"/>
        <d v="2019-01-20T00:00:00"/>
        <d v="2020-01-10T00:00:00"/>
        <d v="2012-02-19T00:00:00"/>
        <d v="2015-05-29T00:00:00"/>
        <d v="2023-11-25T00:00:00"/>
        <d v="2017-07-26T00:00:00"/>
        <d v="2011-11-03T00:00:00"/>
        <d v="2024-04-28T00:00:00"/>
        <d v="2022-06-09T00:00:00"/>
        <d v="2024-09-09T00:00:00"/>
        <d v="2019-05-15T00:00:00"/>
        <d v="2025-06-28T00:00:00"/>
        <d v="2022-06-18T00:00:00"/>
        <d v="2019-01-06T00:00:00"/>
        <d v="2024-11-05T00:00:00"/>
        <d v="2022-04-07T00:00:00"/>
        <d v="2019-06-21T00:00:00"/>
        <d v="2022-04-23T00:00:00"/>
        <d v="2016-08-12T00:00:00"/>
        <d v="2024-07-26T00:00:00"/>
        <d v="2016-01-18T00:00:00"/>
        <d v="2016-01-10T00:00:00"/>
        <d v="2017-11-09T00:00:00"/>
        <d v="2017-09-16T00:00:00"/>
        <d v="2020-08-25T00:00:00"/>
        <d v="2019-12-08T00:00:00"/>
        <d v="2015-06-19T00:00:00"/>
        <d v="2011-12-16T00:00:00"/>
        <d v="2020-10-18T00:00:00"/>
        <d v="2014-08-21T00:00:00"/>
        <d v="2020-08-03T00:00:00"/>
        <d v="2022-04-06T00:00:00"/>
        <d v="2017-07-07T00:00:00"/>
        <d v="2019-06-30T00:00:00"/>
        <d v="2010-09-24T00:00:00"/>
        <d v="2020-04-08T00:00:00"/>
        <d v="2012-05-22T00:00:00"/>
        <d v="2019-07-30T00:00:00"/>
        <d v="2017-07-30T00:00:00"/>
        <d v="2024-03-26T00:00:00"/>
        <d v="2021-03-04T00:00:00"/>
        <d v="2018-05-06T00:00:00"/>
        <d v="2011-02-23T00:00:00"/>
        <d v="2022-06-28T00:00:00"/>
        <d v="2013-06-16T00:00:00"/>
        <d v="2017-05-09T00:00:00"/>
        <d v="2020-03-25T00:00:00"/>
        <d v="2022-02-21T00:00:00"/>
        <d v="2014-03-29T00:00:00"/>
        <d v="2011-03-14T00:00:00"/>
        <d v="2017-03-26T00:00:00"/>
        <d v="2013-04-26T00:00:00"/>
        <d v="2020-06-27T00:00:00"/>
        <d v="2014-11-24T00:00:00"/>
        <d v="2021-12-22T00:00:00"/>
        <d v="2024-07-12T00:00:00"/>
        <d v="2018-05-26T00:00:00"/>
        <d v="2018-12-14T00:00:00"/>
        <d v="2020-07-26T00:00:00"/>
        <d v="2017-04-29T00:00:00"/>
        <d v="2018-11-22T00:00:00"/>
        <d v="2021-08-27T00:00:00"/>
        <d v="2020-04-15T00:00:00"/>
        <d v="2016-10-15T00:00:00"/>
        <d v="2022-05-08T00:00:00"/>
        <d v="2019-05-10T00:00:00"/>
        <d v="2016-07-12T00:00:00"/>
        <d v="2011-08-21T00:00:00"/>
        <d v="2024-01-17T00:00:00"/>
        <d v="2023-03-12T00:00:00"/>
        <d v="2022-01-21T00:00:00"/>
        <d v="2020-11-12T00:00:00"/>
        <d v="2016-01-13T00:00:00"/>
        <d v="2022-04-16T00:00:00"/>
        <d v="2022-11-16T00:00:00"/>
        <d v="2024-11-30T00:00:00"/>
        <d v="2012-07-16T00:00:00"/>
        <d v="2024-07-17T00:00:00"/>
        <d v="2018-02-07T00:00:00"/>
        <d v="2025-02-03T00:00:00"/>
        <d v="2013-02-04T00:00:00"/>
        <d v="2022-07-30T00:00:00"/>
        <d v="2018-11-15T00:00:00"/>
        <d v="2023-05-21T00:00:00"/>
        <d v="2018-04-13T00:00:00"/>
        <d v="2018-10-14T00:00:00"/>
        <d v="2016-09-03T00:00:00"/>
        <d v="2023-04-26T00:00:00"/>
        <d v="2021-08-07T00:00:00"/>
        <d v="2017-06-24T00:00:00"/>
        <d v="2017-06-12T00:00:00"/>
        <d v="2015-02-12T00:00:00"/>
        <d v="2024-11-10T00:00:00"/>
        <d v="2015-04-26T00:00:00"/>
        <d v="2024-02-23T00:00:00"/>
        <d v="2024-12-02T00:00:00"/>
        <d v="2023-06-30T00:00:00"/>
        <d v="2019-08-13T00:00:00"/>
        <d v="2016-07-04T00:00:00"/>
        <d v="2015-10-24T00:00:00"/>
        <d v="2025-01-16T00:00:00"/>
        <d v="2015-12-03T00:00:00"/>
        <d v="2020-04-19T00:00:00"/>
        <d v="2023-12-02T00:00:00"/>
        <d v="2015-06-23T00:00:00"/>
        <d v="2019-07-09T00:00:00"/>
        <d v="2016-07-29T00:00:00"/>
        <d v="2016-09-24T00:00:00"/>
        <d v="2011-01-31T00:00:00"/>
        <d v="2021-04-17T00:00:00"/>
        <d v="2021-11-07T00:00:00"/>
        <d v="2014-05-08T00:00:00"/>
        <d v="2021-10-27T00:00:00"/>
        <d v="2015-11-03T00:00:00"/>
        <d v="2014-01-01T00:00:00"/>
        <d v="2016-10-05T00:00:00"/>
        <d v="2016-02-05T00:00:00"/>
        <d v="2024-07-19T00:00:00"/>
        <d v="2024-10-18T00:00:00"/>
        <d v="2017-03-15T00:00:00"/>
        <d v="2019-05-31T00:00:00"/>
        <d v="2024-01-01T00:00:00"/>
        <d v="2023-10-07T00:00:00"/>
        <d v="2022-07-29T00:00:00"/>
        <d v="2016-01-06T00:00:00"/>
        <d v="2024-06-14T00:00:00"/>
        <d v="2020-05-10T00:00:00"/>
        <d v="2011-02-18T00:00:00"/>
        <d v="2018-02-03T00:00:00"/>
        <d v="2014-03-17T00:00:00"/>
        <d v="2021-08-11T00:00:00"/>
        <d v="2022-06-19T00:00:00"/>
        <d v="2017-01-22T00:00:00"/>
        <d v="2021-11-23T00:00:00"/>
        <d v="2016-08-15T00:00:00"/>
        <d v="2018-06-18T00:00:00"/>
        <d v="2019-10-05T00:00:00"/>
        <d v="2017-07-05T00:00:00"/>
        <d v="2023-11-17T00:00:00"/>
        <d v="2017-05-28T00:00:00"/>
        <d v="2024-01-19T00:00:00"/>
        <d v="2011-12-07T00:00:00"/>
        <d v="2024-06-28T00:00:00"/>
        <d v="2024-06-09T00:00:00"/>
        <d v="2024-05-09T00:00:00"/>
        <d v="2017-03-27T00:00:00"/>
        <d v="2021-08-08T00:00:00"/>
        <d v="2024-08-08T00:00:00"/>
        <d v="2011-03-02T00:00:00"/>
        <d v="2021-08-22T00:00:00"/>
        <d v="2021-11-11T00:00:00"/>
        <d v="2024-05-02T00:00:00"/>
        <d v="2020-05-08T00:00:00"/>
        <d v="2024-04-11T00:00:00"/>
        <d v="2023-03-06T00:00:00"/>
        <d v="2018-08-15T00:00:00"/>
        <d v="2023-06-18T00:00:00"/>
        <d v="2016-07-09T00:00:00"/>
        <d v="2011-10-22T00:00:00"/>
        <d v="2018-10-18T00:00:00"/>
        <d v="2022-09-16T00:00:00"/>
        <d v="2023-04-02T00:00:00"/>
        <d v="2024-06-13T00:00:00"/>
        <d v="2015-08-18T00:00:00"/>
        <d v="2018-05-18T00:00:00"/>
        <d v="2021-10-31T00:00:00"/>
        <d v="2017-04-01T00:00:00"/>
        <d v="2014-07-16T00:00:00"/>
        <d v="2013-01-04T00:00:00"/>
        <d v="2021-06-14T00:00:00"/>
        <d v="2021-11-01T00:00:00"/>
        <d v="2023-01-05T00:00:00"/>
        <d v="2018-11-26T00:00:00"/>
        <d v="2023-04-28T00:00:00"/>
        <d v="2024-12-30T00:00:00"/>
        <d v="2018-12-31T00:00:00"/>
        <d v="2012-09-11T00:00:00"/>
        <d v="2020-06-19T00:00:00"/>
        <d v="2014-07-28T00:00:00"/>
        <d v="2021-07-26T00:00:00"/>
        <d v="2011-03-24T00:00:00"/>
        <d v="2018-03-18T00:00:00"/>
        <d v="2023-09-03T00:00:00"/>
        <d v="2018-10-15T00:00:00"/>
        <d v="2021-06-30T00:00:00"/>
        <d v="2022-11-04T00:00:00"/>
        <d v="2022-05-03T00:00:00"/>
        <d v="2011-10-06T00:00:00"/>
        <d v="2015-06-30T00:00:00"/>
        <d v="2021-11-30T00:00:00"/>
        <d v="2019-07-31T00:00:00"/>
        <d v="2012-04-16T00:00:00"/>
        <d v="2017-01-02T00:00:00"/>
        <d v="2011-01-20T00:00:00"/>
        <d v="2021-08-13T00:00:00"/>
        <d v="2025-05-01T00:00:00"/>
        <d v="2021-11-19T00:00:00"/>
        <d v="2020-10-29T00:00:00"/>
        <d v="2017-06-16T00:00:00"/>
        <d v="2024-03-09T00:00:00"/>
        <d v="2016-02-14T00:00:00"/>
        <d v="2025-03-01T00:00:00"/>
        <d v="2013-11-18T00:00:00"/>
        <d v="2018-05-15T00:00:00"/>
        <d v="2025-04-20T00:00:00"/>
        <d v="2019-10-10T00:00:00"/>
        <d v="2018-04-05T00:00:00"/>
        <d v="2023-02-08T00:00:00"/>
        <d v="2025-05-20T00:00:00"/>
        <d v="2021-06-22T00:00:00"/>
        <d v="2019-05-19T00:00:00"/>
        <d v="2023-08-17T00:00:00"/>
        <d v="2023-02-21T00:00:00"/>
        <d v="2024-08-13T00:00:00"/>
        <d v="2011-04-16T00:00:00"/>
        <d v="2024-09-27T00:00:00"/>
        <d v="2011-04-25T00:00:00"/>
        <d v="2018-01-05T00:00:00"/>
        <d v="2020-01-27T00:00:00"/>
        <d v="2011-06-19T00:00:00"/>
        <d v="2024-07-10T00:00:00"/>
        <d v="2015-02-22T00:00:00"/>
        <d v="2021-03-09T00:00:00"/>
        <d v="2022-04-04T00:00:00"/>
        <d v="2011-04-03T00:00:00"/>
        <d v="2023-07-02T00:00:00"/>
        <d v="2017-12-11T00:00:00"/>
        <d v="2022-01-01T00:00:00"/>
        <d v="2025-07-17T00:00:00"/>
        <d v="2025-03-02T00:00:00"/>
        <d v="2020-05-26T00:00:00"/>
        <d v="2018-04-12T00:00:00"/>
        <d v="2020-05-03T00:00:00"/>
        <d v="2015-05-05T00:00:00"/>
        <d v="2011-05-14T00:00:00"/>
        <d v="2022-12-15T00:00:00"/>
        <d v="2023-08-18T00:00:00"/>
        <d v="2011-03-09T00:00:00"/>
        <d v="2013-10-11T00:00:00"/>
        <d v="2015-10-09T00:00:00"/>
        <d v="2023-05-12T00:00:00"/>
        <d v="2021-10-15T00:00:00"/>
        <d v="2020-08-07T00:00:00"/>
        <d v="2012-02-20T00:00:00"/>
        <d v="2011-10-24T00:00:00"/>
        <d v="2013-04-15T00:00:00"/>
        <d v="2018-09-09T00:00:00"/>
        <d v="2021-10-09T00:00:00"/>
        <d v="2020-11-02T00:00:00"/>
        <d v="2019-02-19T00:00:00"/>
        <d v="2013-06-30T00:00:00"/>
        <d v="2014-12-06T00:00:00"/>
        <d v="2016-04-03T00:00:00"/>
        <d v="2019-10-16T00:00:00"/>
        <d v="2016-02-29T00:00:00"/>
        <d v="2017-04-09T00:00:00"/>
        <d v="2024-03-15T00:00:00"/>
        <d v="2022-10-11T00:00:00"/>
        <d v="2024-02-03T00:00:00"/>
        <d v="2024-04-15T00:00:00"/>
        <d v="2017-08-04T00:00:00"/>
        <d v="2022-10-07T00:00:00"/>
        <d v="2025-06-25T00:00:00"/>
        <d v="2023-11-23T00:00:00"/>
        <d v="2024-10-15T00:00:00"/>
        <d v="2023-10-04T00:00:00"/>
        <d v="2025-05-19T00:00:00"/>
        <d v="2016-01-26T00:00:00"/>
        <d v="2021-09-07T00:00:00"/>
        <d v="2021-12-12T00:00:00"/>
        <d v="2020-02-21T00:00:00"/>
        <d v="2020-11-09T00:00:00"/>
        <d v="2014-05-18T00:00:00"/>
        <d v="2016-07-31T00:00:00"/>
        <d v="2021-10-17T00:00:00"/>
        <d v="2016-04-28T00:00:00"/>
        <d v="2019-08-15T00:00:00"/>
        <d v="2015-10-31T00:00:00"/>
        <d v="2024-04-20T00:00:00"/>
        <d v="2020-09-26T00:00:00"/>
        <d v="2020-02-04T00:00:00"/>
        <d v="2012-03-19T00:00:00"/>
        <d v="2021-06-08T00:00:00"/>
        <d v="2018-07-31T00:00:00"/>
        <d v="2013-08-07T00:00:00"/>
        <d v="2020-10-22T00:00:00"/>
        <d v="2021-05-02T00:00:00"/>
        <d v="2015-06-13T00:00:00"/>
        <d v="2016-12-31T00:00:00"/>
        <d v="2025-08-08T00:00:00"/>
        <d v="2020-06-17T00:00:00"/>
        <d v="2015-07-14T00:00:00"/>
        <d v="2022-09-19T00:00:00"/>
        <d v="2017-06-20T00:00:00"/>
        <d v="2021-09-22T00:00:00"/>
        <d v="2011-09-19T00:00:00"/>
        <d v="2019-03-19T00:00:00"/>
        <d v="2015-06-08T00:00:00"/>
        <d v="2021-11-09T00:00:00"/>
        <d v="2018-10-24T00:00:00"/>
        <d v="2012-12-05T00:00:00"/>
        <d v="2025-02-17T00:00:00"/>
        <d v="2016-05-24T00:00:00"/>
        <d v="2024-04-21T00:00:00"/>
        <d v="2022-08-04T00:00:00"/>
        <d v="2017-09-27T00:00:00"/>
        <d v="2017-01-16T00:00:00"/>
        <d v="2017-11-05T00:00:00"/>
        <d v="2011-09-27T00:00:00"/>
        <d v="2023-11-28T00:00:00"/>
        <d v="2024-02-29T00:00:00"/>
        <d v="2015-05-26T00:00:00"/>
        <d v="2013-02-20T00:00:00"/>
        <d v="2022-02-06T00:00:00"/>
        <d v="2022-05-22T00:00:00"/>
        <d v="2021-08-30T00:00:00"/>
        <d v="2022-07-25T00:00:00"/>
        <d v="2021-09-04T00:00:00"/>
        <d v="2018-12-25T00:00:00"/>
        <d v="2018-01-06T00:00:00"/>
        <d v="2023-01-22T00:00:00"/>
        <d v="2019-09-23T00:00:00"/>
        <d v="2017-05-26T00:00:00"/>
        <d v="2019-12-18T00:00:00"/>
        <d v="2013-08-10T00:00:00"/>
        <d v="2017-10-02T00:00:00"/>
        <d v="2022-04-29T00:00:00"/>
        <d v="2017-02-21T00:00:00"/>
        <d v="2014-07-08T00:00:00"/>
        <d v="2021-07-17T00:00:00"/>
        <d v="2024-10-11T00:00:00"/>
        <d v="2020-09-24T00:00:00"/>
        <d v="2016-11-22T00:00:00"/>
        <d v="2018-06-14T00:00:00"/>
        <d v="2020-02-05T00:00:00"/>
        <d v="2016-11-21T00:00:00"/>
        <d v="2019-12-19T00:00:00"/>
        <d v="2024-11-13T00:00:00"/>
        <d v="2021-12-17T00:00:00"/>
        <d v="2016-04-01T00:00:00"/>
        <d v="2017-12-19T00:00:00"/>
        <d v="2013-02-19T00:00:00"/>
        <d v="2025-03-18T00:00:00"/>
        <d v="2022-12-29T00:00:00"/>
        <d v="2017-03-02T00:00:00"/>
        <d v="2013-01-24T00:00:00"/>
        <d v="2018-02-11T00:00:00"/>
        <d v="2020-06-26T00:00:00"/>
        <d v="2017-02-02T00:00:00"/>
        <d v="2019-09-06T00:00:00"/>
        <d v="2013-04-22T00:00:00"/>
        <d v="2015-09-06T00:00:00"/>
        <d v="2021-01-20T00:00:00"/>
        <d v="2025-03-06T00:00:00"/>
        <d v="2025-04-02T00:00:00"/>
        <d v="2023-10-10T00:00:00"/>
        <d v="2019-10-19T00:00:00"/>
        <d v="2018-01-11T00:00:00"/>
        <d v="2015-09-22T00:00:00"/>
        <d v="2025-04-18T00:00:00"/>
        <d v="2023-10-22T00:00:00"/>
        <d v="2023-10-30T00:00:00"/>
        <d v="2013-05-17T00:00:00"/>
        <d v="2018-02-18T00:00:00"/>
        <d v="2018-12-16T00:00:00"/>
        <d v="2019-12-07T00:00:00"/>
        <d v="2018-04-16T00:00:00"/>
        <d v="2017-12-20T00:00:00"/>
        <d v="2018-08-20T00:00:00"/>
        <d v="2016-01-31T00:00:00"/>
        <d v="2016-07-03T00:00:00"/>
        <d v="2024-04-03T00:00:00"/>
        <d v="2024-09-14T00:00:00"/>
        <d v="2025-04-28T00:00:00"/>
        <d v="2020-02-14T00:00:00"/>
        <d v="2018-03-09T00:00:00"/>
        <d v="2022-01-22T00:00:00"/>
        <d v="2024-08-01T00:00:00"/>
        <d v="2012-08-28T00:00:00"/>
        <d v="2019-02-21T00:00:00"/>
        <d v="2021-06-19T00:00:00"/>
        <d v="2019-01-08T00:00:00"/>
        <d v="2021-08-29T00:00:00"/>
        <d v="2025-01-13T00:00:00"/>
        <d v="2020-12-03T00:00:00"/>
        <d v="2023-05-15T00:00:00"/>
        <d v="2023-03-25T00:00:00"/>
        <d v="2025-04-04T00:00:00"/>
        <d v="2018-09-08T00:00:00"/>
        <d v="2020-12-19T00:00:00"/>
        <d v="2018-11-14T00:00:00"/>
        <d v="2025-04-26T00:00:00"/>
        <d v="2017-11-21T00:00:00"/>
        <d v="2012-05-03T00:00:00"/>
        <d v="2023-04-12T00:00:00"/>
        <d v="2010-11-12T00:00:00"/>
        <d v="2024-06-11T00:00:00"/>
        <d v="2024-07-13T00:00:00"/>
        <d v="2017-09-20T00:00:00"/>
        <d v="2019-09-24T00:00:00"/>
        <d v="2022-07-28T00:00:00"/>
        <d v="2015-12-12T00:00:00"/>
        <d v="2012-07-15T00:00:00"/>
        <d v="2013-02-03T00:00:00"/>
        <d v="2023-11-09T00:00:00"/>
        <d v="2018-07-13T00:00:00"/>
        <d v="2016-09-05T00:00:00"/>
        <d v="2024-12-22T00:00:00"/>
        <d v="2018-09-17T00:00:00"/>
        <d v="2015-08-25T00:00:00"/>
        <d v="2019-04-06T00:00:00"/>
        <d v="2021-04-23T00:00:00"/>
        <d v="2020-06-03T00:00:00"/>
        <d v="2021-01-14T00:00:00"/>
        <d v="2023-01-18T00:00:00"/>
        <d v="2014-03-24T00:00:00"/>
        <d v="2016-12-10T00:00:00"/>
        <d v="2016-10-22T00:00:00"/>
        <d v="2024-04-09T00:00:00"/>
        <d v="2011-06-22T00:00:00"/>
        <d v="2024-04-29T00:00:00"/>
        <d v="2014-01-16T00:00:00"/>
        <d v="2017-02-18T00:00:00"/>
        <d v="2022-03-29T00:00:00"/>
        <d v="2021-08-10T00:00:00"/>
        <d v="2016-07-20T00:00:00"/>
        <d v="2018-04-30T00:00:00"/>
        <d v="2024-10-31T00:00:00"/>
        <d v="2020-06-07T00:00:00"/>
        <d v="2019-03-29T00:00:00"/>
        <d v="2015-11-30T00:00:00"/>
        <d v="2022-09-11T00:00:00"/>
        <d v="2019-01-10T00:00:00"/>
        <d v="2013-03-22T00:00:00"/>
        <d v="2013-02-08T00:00:00"/>
        <d v="2020-12-05T00:00:00"/>
        <d v="2016-02-19T00:00:00"/>
        <d v="2020-06-01T00:00:00"/>
        <d v="2022-09-30T00:00:00"/>
        <d v="2018-02-13T00:00:00"/>
        <d v="2022-10-09T00:00:00"/>
        <d v="2012-01-04T00:00:00"/>
        <d v="2021-10-24T00:00:00"/>
        <d v="2025-06-14T00:00:00"/>
        <d v="2012-12-17T00:00:00"/>
        <d v="2011-10-31T00:00:00"/>
        <d v="2022-10-27T00:00:00"/>
        <d v="2018-10-12T00:00:00"/>
        <d v="2017-01-06T00:00:00"/>
        <d v="2022-09-25T00:00:00"/>
        <d v="2020-12-02T00:00:00"/>
        <d v="2020-02-29T00:00:00"/>
        <d v="2011-08-28T00:00:00"/>
        <d v="2021-06-13T00:00:00"/>
        <d v="2019-05-01T00:00:00"/>
        <d v="2019-07-07T00:00:00"/>
        <d v="2020-05-17T00:00:00"/>
        <d v="2015-04-19T00:00:00"/>
        <d v="2015-12-13T00:00:00"/>
        <d v="2016-05-13T00:00:00"/>
        <d v="2017-06-05T00:00:00"/>
        <d v="2013-08-12T00:00:00"/>
        <d v="2023-07-30T00:00:00"/>
        <d v="2015-10-03T00:00:00"/>
        <d v="2010-09-05T00:00:00"/>
        <d v="2024-07-22T00:00:00"/>
        <d v="2015-10-21T00:00:00"/>
        <d v="2016-01-28T00:00:00"/>
        <d v="2013-06-21T00:00:00"/>
        <d v="2023-06-06T00:00:00"/>
        <d v="2018-08-26T00:00:00"/>
        <d v="2022-06-01T00:00:00"/>
        <d v="2023-10-31T00:00:00"/>
        <d v="2021-07-16T00:00:00"/>
        <d v="2017-03-07T00:00:00"/>
        <d v="2014-03-08T00:00:00"/>
        <d v="2011-08-17T00:00:00"/>
        <d v="2015-03-03T00:00:00"/>
        <d v="2025-07-31T00:00:00"/>
        <d v="2014-07-21T00:00:00"/>
        <d v="2017-06-19T00:00:00"/>
        <d v="2012-01-18T00:00:00"/>
        <d v="2016-12-19T00:00:00"/>
        <d v="2022-12-28T00:00:00"/>
        <d v="2018-06-17T00:00:00"/>
        <d v="2025-06-01T00:00:00"/>
        <d v="2025-01-18T00:00:00"/>
        <d v="2017-02-05T00:00:00"/>
        <d v="2020-03-19T00:00:00"/>
        <d v="2015-05-07T00:00:00"/>
        <d v="2025-02-25T00:00:00"/>
        <d v="2020-08-10T00:00:00"/>
        <d v="2024-03-22T00:00:00"/>
        <d v="2024-02-27T00:00:00"/>
        <d v="2022-06-15T00:00:00"/>
        <d v="2017-05-11T00:00:00"/>
        <d v="2015-11-12T00:00:00"/>
        <d v="2023-08-22T00:00:00"/>
        <d v="2017-12-12T00:00:00"/>
        <d v="2015-09-04T00:00:00"/>
        <d v="2023-12-14T00:00:00"/>
        <d v="2019-06-02T00:00:00"/>
        <d v="2019-06-08T00:00:00"/>
        <d v="2012-10-23T00:00:00"/>
        <d v="2012-09-16T00:00:00"/>
        <d v="2021-04-24T00:00:00"/>
        <d v="2017-07-06T00:00:00"/>
        <d v="2019-05-22T00:00:00"/>
        <d v="2011-07-02T00:00:00"/>
        <d v="2018-12-23T00:00:00"/>
        <d v="2015-06-16T00:00:00"/>
        <d v="2013-02-26T00:00:00"/>
        <d v="2024-02-11T00:00:00"/>
        <d v="2018-09-19T00:00:00"/>
        <d v="2022-08-12T00:00:00"/>
        <d v="2023-04-04T00:00:00"/>
        <d v="2023-11-20T00:00:00"/>
        <d v="2024-06-27T00:00:00"/>
        <d v="2025-06-03T00:00:00"/>
        <d v="2011-04-08T00:00:00"/>
        <d v="2013-04-06T00:00:00"/>
        <d v="2020-03-18T00:00:00"/>
        <d v="2017-07-16T00:00:00"/>
        <d v="2020-01-18T00:00:00"/>
        <d v="2016-09-27T00:00:00"/>
        <d v="2013-11-02T00:00:00"/>
        <d v="2018-10-28T00:00:00"/>
        <d v="2025-01-20T00:00:00"/>
        <d v="2018-10-06T00:00:00"/>
        <d v="2016-01-01T00:00:00"/>
        <d v="2017-07-21T00:00:00"/>
        <d v="2022-05-29T00:00:00"/>
        <d v="2018-08-30T00:00:00"/>
        <d v="2021-03-27T00:00:00"/>
        <d v="2020-03-05T00:00:00"/>
        <d v="2016-10-07T00:00:00"/>
        <d v="2020-06-22T00:00:00"/>
        <d v="2023-08-03T00:00:00"/>
        <d v="2024-12-31T00:00:00"/>
        <d v="2016-05-18T00:00:00"/>
        <d v="2015-09-15T00:00:00"/>
        <d v="2016-04-08T00:00:00"/>
        <d v="2016-11-14T00:00:00"/>
        <d v="2017-08-31T00:00:00"/>
        <d v="2013-08-31T00:00:00"/>
        <d v="2017-10-25T00:00:00"/>
        <d v="2011-05-10T00:00:00"/>
        <d v="2021-10-18T00:00:00"/>
        <d v="2025-03-20T00:00:00"/>
        <d v="2016-03-17T00:00:00"/>
        <d v="2024-09-19T00:00:00"/>
        <d v="2014-02-26T00:00:00"/>
        <d v="2019-07-18T00:00:00"/>
        <d v="2015-12-26T00:00:00"/>
        <d v="2022-12-03T00:00:00"/>
        <d v="2025-07-04T00:00:00"/>
        <d v="2020-03-24T00:00:00"/>
        <d v="2016-03-18T00:00:00"/>
        <d v="2019-05-18T00:00:00"/>
        <d v="2016-05-16T00:00:00"/>
        <d v="2023-05-29T00:00:00"/>
        <d v="2023-07-09T00:00:00"/>
        <d v="2022-06-22T00:00:00"/>
        <d v="2019-12-26T00:00:00"/>
        <d v="2022-07-08T00:00:00"/>
        <d v="2020-10-10T00:00:00"/>
        <d v="2016-01-04T00:00:00"/>
        <d v="2025-04-17T00:00:00"/>
        <d v="2019-04-09T00:00:00"/>
        <d v="2014-10-03T00:00:00"/>
        <d v="2021-01-16T00:00:00"/>
        <d v="2013-01-25T00:00:00"/>
        <d v="2011-10-10T00:00:00"/>
        <d v="2016-06-16T00:00:00"/>
        <d v="2018-09-23T00:00:00"/>
        <d v="2021-08-05T00:00:00"/>
        <d v="2022-07-15T00:00:00"/>
        <d v="2013-06-19T00:00:00"/>
        <d v="2010-11-25T00:00:00"/>
        <d v="2010-08-18T00:00:00"/>
        <d v="2013-07-16T00:00:00"/>
        <d v="2021-03-22T00:00:00"/>
        <d v="2019-11-11T00:00:00"/>
        <d v="2016-06-24T00:00:00"/>
        <d v="2022-01-28T00:00:00"/>
        <d v="2016-11-10T00:00:00"/>
        <d v="2016-02-25T00:00:00"/>
        <d v="2011-12-26T00:00:00"/>
        <d v="2018-08-03T00:00:00"/>
        <d v="2023-09-04T00:00:00"/>
        <d v="2018-09-25T00:00:00"/>
        <d v="2017-07-13T00:00:00"/>
        <d v="2025-01-11T00:00:00"/>
        <d v="2023-07-28T00:00:00"/>
        <d v="2022-12-26T00:00:00"/>
        <d v="2022-06-27T00:00:00"/>
        <d v="2016-02-15T00:00:00"/>
        <d v="2023-03-31T00:00:00"/>
        <d v="2018-04-02T00:00:00"/>
        <d v="2014-03-04T00:00:00"/>
        <d v="2017-01-05T00:00:00"/>
        <d v="2018-06-22T00:00:00"/>
        <d v="2012-09-26T00:00:00"/>
        <d v="2012-09-09T00:00:00"/>
        <d v="2015-01-02T00:00:00"/>
        <d v="2024-04-27T00:00:00"/>
        <d v="2014-07-22T00:00:00"/>
        <d v="2015-03-12T00:00:00"/>
        <d v="2019-03-17T00:00:00"/>
        <d v="2023-11-05T00:00:00"/>
        <d v="2015-05-25T00:00:00"/>
        <d v="2016-12-12T00:00:00"/>
        <d v="2014-04-11T00:00:00"/>
        <d v="2023-02-16T00:00:00"/>
        <d v="2017-12-23T00:00:00"/>
        <d v="2019-03-13T00:00:00"/>
        <d v="2018-08-11T00:00:00"/>
        <d v="2010-09-26T00:00:00"/>
        <d v="2010-09-01T00:00:00"/>
        <d v="2013-05-11T00:00:00"/>
        <d v="2022-04-15T00:00:00"/>
        <d v="2017-04-03T00:00:00"/>
        <d v="2021-08-12T00:00:00"/>
        <d v="2019-09-19T00:00:00"/>
        <d v="2021-12-21T00:00:00"/>
        <d v="2013-07-03T00:00:00"/>
        <d v="2012-12-14T00:00:00"/>
        <d v="2018-02-15T00:00:00"/>
        <d v="2024-09-13T00:00:00"/>
        <d v="2015-05-15T00:00:00"/>
        <d v="2013-08-16T00:00:00"/>
        <d v="2018-11-20T00:00:00"/>
        <d v="2020-02-20T00:00:00"/>
        <d v="2015-02-25T00:00:00"/>
        <d v="2020-12-31T00:00:00"/>
        <d v="2021-09-13T00:00:00"/>
        <d v="2020-10-31T00:00:00"/>
        <d v="2020-05-13T00:00:00"/>
        <d v="2012-05-21T00:00:00"/>
        <d v="2013-12-03T00:00:00"/>
        <d v="2021-02-28T00:00:00"/>
        <d v="2024-03-21T00:00:00"/>
        <d v="2024-11-03T00:00:00"/>
        <d v="2015-06-22T00:00:00"/>
        <d v="2021-09-09T00:00:00"/>
        <d v="2016-04-12T00:00:00"/>
        <d v="2015-10-12T00:00:00"/>
        <d v="2023-04-29T00:00:00"/>
        <d v="2017-01-03T00:00:00"/>
        <d v="2019-10-15T00:00:00"/>
        <d v="2021-02-07T00:00:00"/>
        <d v="2017-05-15T00:00:00"/>
        <d v="2012-10-20T00:00:00"/>
        <d v="2020-07-12T00:00:00"/>
        <d v="2015-11-02T00:00:00"/>
        <d v="2023-09-23T00:00:00"/>
        <d v="2024-12-29T00:00:00"/>
        <d v="2018-05-25T00:00:00"/>
        <d v="2016-10-10T00:00:00"/>
        <d v="2018-10-23T00:00:00"/>
        <d v="2016-04-11T00:00:00"/>
        <d v="2013-07-10T00:00:00"/>
        <d v="2019-09-26T00:00:00"/>
        <d v="2011-10-25T00:00:00"/>
        <d v="2020-11-24T00:00:00"/>
        <d v="2025-02-13T00:00:00"/>
        <d v="2023-02-15T00:00:00"/>
        <d v="2025-07-12T00:00:00"/>
        <d v="2012-05-07T00:00:00"/>
        <d v="2016-06-18T00:00:00"/>
        <d v="2021-10-26T00:00:00"/>
        <d v="2018-06-20T00:00:00"/>
        <d v="2013-05-19T00:00:00"/>
        <d v="2019-04-12T00:00:00"/>
        <d v="2018-03-04T00:00:00"/>
        <d v="2013-10-17T00:00:00"/>
        <d v="2016-04-06T00:00:00"/>
        <d v="2017-02-24T00:00:00"/>
        <d v="2013-02-22T00:00:00"/>
        <d v="2015-09-16T00:00:00"/>
        <d v="2018-08-28T00:00:00"/>
        <d v="2024-07-25T00:00:00"/>
        <d v="2021-08-20T00:00:00"/>
        <d v="2018-03-29T00:00:00"/>
        <d v="2021-01-06T00:00:00"/>
        <d v="2013-11-07T00:00:00"/>
        <d v="2021-01-29T00:00:00"/>
        <d v="2021-10-13T00:00:00"/>
        <d v="2022-06-03T00:00:00"/>
        <d v="2014-09-07T00:00:00"/>
        <d v="2024-09-12T00:00:00"/>
        <d v="2013-06-11T00:00:00"/>
        <d v="2020-10-02T00:00:00"/>
        <d v="2025-08-05T00:00:00"/>
        <d v="2019-07-24T00:00:00"/>
        <d v="2024-11-24T00:00:00"/>
        <d v="2016-09-18T00:00:00"/>
        <d v="2016-07-14T00:00:00"/>
        <d v="2015-11-04T00:00:00"/>
        <d v="2017-06-30T00:00:00"/>
        <d v="2017-07-15T00:00:00"/>
        <d v="2024-10-17T00:00:00"/>
        <d v="2018-12-05T00:00:00"/>
        <d v="2018-03-11T00:00:00"/>
        <d v="2014-08-14T00:00:00"/>
        <d v="2024-01-12T00:00:00"/>
        <d v="2022-03-26T00:00:00"/>
        <d v="2016-09-04T00:00:00"/>
        <d v="2012-08-31T00:00:00"/>
        <d v="2012-04-13T00:00:00"/>
        <d v="2022-11-30T00:00:00"/>
        <d v="2019-11-22T00:00:00"/>
        <d v="2017-09-17T00:00:00"/>
        <d v="2013-06-08T00:00:00"/>
        <d v="2017-08-22T00:00:00"/>
        <d v="2020-04-07T00:00:00"/>
        <d v="2018-07-01T00:00:00"/>
        <d v="2010-10-25T00:00:00"/>
        <d v="2016-08-16T00:00:00"/>
        <d v="2023-09-21T00:00:00"/>
        <d v="2021-05-26T00:00:00"/>
        <d v="2021-12-24T00:00:00"/>
        <d v="2018-07-24T00:00:00"/>
        <d v="2019-02-17T00:00:00"/>
        <d v="2021-04-13T00:00:00"/>
        <d v="2020-05-01T00:00:00"/>
        <d v="2013-09-09T00:00:00"/>
        <d v="2015-06-28T00:00:00"/>
        <d v="2022-10-17T00:00:00"/>
        <d v="2023-05-10T00:00:00"/>
        <d v="2014-05-29T00:00:00"/>
        <d v="2018-09-07T00:00:00"/>
        <d v="2011-04-30T00:00:00"/>
        <d v="2017-09-29T00:00:00"/>
        <d v="2024-03-05T00:00:00"/>
        <d v="2024-08-14T00:00:00"/>
        <d v="2014-11-15T00:00:00"/>
        <d v="2021-09-17T00:00:00"/>
        <d v="2018-05-08T00:00:00"/>
        <d v="2019-05-29T00:00:00"/>
        <d v="2011-07-10T00:00:00"/>
        <d v="2011-01-22T00:00:00"/>
        <d v="2017-08-02T00:00:00"/>
        <d v="2025-07-02T00:00:00"/>
        <d v="2019-07-11T00:00:00"/>
        <d v="2020-08-09T00:00:00"/>
        <d v="2012-05-17T00:00:00"/>
        <d v="2021-09-12T00:00:00"/>
        <d v="2022-07-26T00:00:00"/>
        <d v="2021-09-19T00:00:00"/>
        <d v="2024-01-26T00:00:00"/>
        <d v="2019-03-24T00:00:00"/>
        <d v="2014-02-06T00:00:00"/>
        <d v="2015-03-16T00:00:00"/>
        <d v="2011-08-24T00:00:00"/>
        <d v="2021-11-10T00:00:00"/>
        <d v="2019-08-19T00:00:00"/>
        <d v="2021-09-08T00:00:00"/>
        <d v="2017-07-01T00:00:00"/>
        <d v="2013-03-23T00:00:00"/>
        <d v="2017-09-22T00:00:00"/>
        <d v="2016-09-22T00:00:00"/>
        <d v="2021-01-28T00:00:00"/>
        <d v="2016-07-05T00:00:00"/>
        <d v="2022-06-20T00:00:00"/>
        <d v="2011-07-16T00:00:00"/>
        <d v="2022-05-23T00:00:00"/>
        <d v="2024-09-03T00:00:00"/>
        <d v="2024-10-07T00:00:00"/>
        <d v="2013-05-27T00:00:00"/>
        <d v="2025-04-27T00:00:00"/>
        <d v="2024-02-08T00:00:00"/>
        <d v="2016-02-01T00:00:00"/>
        <d v="2016-12-11T00:00:00"/>
        <d v="2019-06-04T00:00:00"/>
        <d v="2020-02-15T00:00:00"/>
        <d v="2020-04-10T00:00:00"/>
        <d v="2018-09-13T00:00:00"/>
        <d v="2023-08-31T00:00:00"/>
        <d v="2025-08-07T00:00:00"/>
        <d v="2018-09-12T00:00:00"/>
        <d v="2021-08-06T00:00:00"/>
        <d v="2014-03-01T00:00:00"/>
        <d v="2022-11-08T00:00:00"/>
        <d v="2023-10-17T00:00:00"/>
        <d v="2012-03-29T00:00:00"/>
        <d v="2015-05-14T00:00:00"/>
        <d v="2012-03-05T00:00:00"/>
        <d v="2013-03-18T00:00:00"/>
        <d v="2019-09-05T00:00:00"/>
        <d v="2015-04-18T00:00:00"/>
        <d v="2014-09-01T00:00:00"/>
        <d v="2014-12-15T00:00:00"/>
        <d v="2023-06-07T00:00:00"/>
        <d v="2012-05-11T00:00:00"/>
        <d v="2015-07-18T00:00:00"/>
        <d v="2023-02-06T00:00:00"/>
        <d v="2021-01-22T00:00:00"/>
        <d v="2018-08-06T00:00:00"/>
        <d v="2012-04-21T00:00:00"/>
        <d v="2016-04-13T00:00:00"/>
        <d v="2011-07-19T00:00:00"/>
        <d v="2023-01-28T00:00:00"/>
        <d v="2022-03-08T00:00:00"/>
        <d v="2013-07-28T00:00:00"/>
        <d v="2023-08-16T00:00:00"/>
        <d v="2020-12-15T00:00:00"/>
        <d v="2023-08-08T00:00:00"/>
        <d v="2017-11-17T00:00:00"/>
        <d v="2024-11-04T00:00:00"/>
        <d v="2013-11-11T00:00:00"/>
        <d v="2010-10-12T00:00:00"/>
        <d v="2011-11-18T00:00:00"/>
        <d v="2017-02-22T00:00:00"/>
        <d v="2014-12-19T00:00:00"/>
        <d v="2015-09-03T00:00:00"/>
        <d v="2018-11-27T00:00:00"/>
        <d v="2017-07-19T00:00:00"/>
        <d v="2019-07-02T00:00:00"/>
        <d v="2019-09-27T00:00:00"/>
        <d v="2013-07-08T00:00:00"/>
        <d v="2013-01-23T00:00:00"/>
        <d v="2019-12-25T00:00:00"/>
        <d v="2025-01-01T00:00:00"/>
        <d v="2021-03-11T00:00:00"/>
        <d v="2025-05-15T00:00:00"/>
        <d v="2023-05-19T00:00:00"/>
        <d v="2019-06-10T00:00:00"/>
        <d v="2020-02-10T00:00:00"/>
        <d v="2020-12-16T00:00:00"/>
        <d v="2017-10-26T00:00:00"/>
        <d v="2024-01-13T00:00:00"/>
        <d v="2015-12-02T00:00:00"/>
        <d v="2018-10-25T00:00:00"/>
        <d v="2017-11-13T00:00:00"/>
        <d v="2022-03-18T00:00:00"/>
        <d v="2022-01-13T00:00:00"/>
        <d v="2025-02-12T00:00:00"/>
        <d v="2021-12-13T00:00:00"/>
        <d v="2022-12-09T00:00:00"/>
        <d v="2022-01-16T00:00:00"/>
        <d v="2022-10-04T00:00:00"/>
        <d v="2020-12-29T00:00:00"/>
        <d v="2020-09-05T00:00:00"/>
        <d v="2022-06-13T00:00:00"/>
        <d v="2020-04-02T00:00:00"/>
        <d v="2025-02-23T00:00:00"/>
        <d v="2023-03-18T00:00:00"/>
        <d v="2013-05-29T00:00:00"/>
        <d v="2021-06-26T00:00:00"/>
        <d v="2016-12-05T00:00:00"/>
        <d v="2024-06-29T00:00:00"/>
        <d v="2017-05-27T00:00:00"/>
        <d v="2025-06-13T00:00:00"/>
        <d v="2018-04-22T00:00:00"/>
        <d v="2023-06-25T00:00:00"/>
        <d v="2024-10-28T00:00:00"/>
        <d v="2015-08-04T00:00:00"/>
        <d v="2011-02-24T00:00:00"/>
        <d v="2023-02-12T00:00:00"/>
        <d v="2014-05-03T00:00:00"/>
        <d v="2024-06-08T00:00:00"/>
        <d v="2019-04-04T00:00:00"/>
        <d v="2025-07-23T00:00:00"/>
        <d v="2019-07-08T00:00:00"/>
        <d v="2012-04-30T00:00:00"/>
        <d v="2021-11-13T00:00:00"/>
        <d v="2013-01-08T00:00:00"/>
        <d v="2016-05-05T00:00:00"/>
        <d v="2015-03-27T00:00:00"/>
        <d v="2023-12-06T00:00:00"/>
        <d v="2010-10-22T00:00:00"/>
        <d v="2024-12-19T00:00:00"/>
        <d v="2022-07-14T00:00:00"/>
        <d v="2025-02-14T00:00:00"/>
        <d v="2011-06-16T00:00:00"/>
        <d v="2024-05-23T00:00:00"/>
        <d v="2019-04-01T00:00:00"/>
        <d v="2018-01-18T00:00:00"/>
        <d v="2020-08-05T00:00:00"/>
        <d v="2017-06-06T00:00:00"/>
        <d v="2013-06-02T00:00:00"/>
        <d v="2020-07-29T00:00:00"/>
        <d v="2014-01-18T00:00:00"/>
        <d v="2020-07-07T00:00:00"/>
        <d v="2012-04-05T00:00:00"/>
        <d v="2016-02-22T00:00:00"/>
        <d v="2012-07-31T00:00:00"/>
        <d v="2019-05-05T00:00:00"/>
        <d v="2018-01-27T00:00:00"/>
        <d v="2017-10-17T00:00:00"/>
        <d v="2013-05-16T00:00:00"/>
        <d v="2023-02-09T00:00:00"/>
        <d v="2015-02-19T00:00:00"/>
        <d v="2013-09-15T00:00:00"/>
        <d v="2022-11-18T00:00:00"/>
        <d v="2016-05-30T00:00:00"/>
        <d v="2022-08-10T00:00:00"/>
        <d v="2017-11-29T00:00:00"/>
        <d v="2022-09-23T00:00:00"/>
        <d v="2016-06-10T00:00:00"/>
        <d v="2022-04-28T00:00:00"/>
        <d v="2017-08-15T00:00:00"/>
        <d v="2018-02-22T00:00:00"/>
        <d v="2012-11-23T00:00:00"/>
        <d v="2017-10-01T00:00:00"/>
        <d v="2013-06-12T00:00:00"/>
        <d v="2015-06-14T00:00:00"/>
        <d v="2022-08-31T00:00:00"/>
        <d v="2019-12-30T00:00:00"/>
        <d v="2016-11-17T00:00:00"/>
        <d v="2018-08-13T00:00:00"/>
        <d v="2016-12-21T00:00:00"/>
        <d v="2018-11-10T00:00:00"/>
        <d v="2013-04-11T00:00:00"/>
        <d v="2011-02-15T00:00:00"/>
        <d v="2015-05-11T00:00:00"/>
        <d v="2018-06-16T00:00:00"/>
        <d v="2020-10-28T00:00:00"/>
        <d v="2011-10-02T00:00:00"/>
        <d v="2025-02-06T00:00:00"/>
        <d v="2010-11-28T00:00:00"/>
        <d v="2024-02-14T00:00:00"/>
        <d v="2023-03-24T00:00:00"/>
        <d v="2018-12-01T00:00:00"/>
        <d v="2024-10-19T00:00:00"/>
        <d v="2024-02-02T00:00:00"/>
        <d v="2021-04-25T00:00:00"/>
        <d v="2012-06-20T00:00:00"/>
        <d v="2017-11-20T00:00:00"/>
        <d v="2020-01-25T00:00:00"/>
        <d v="2015-06-18T00:00:00"/>
        <d v="2016-01-20T00:00:00"/>
        <d v="2014-05-27T00:00:00"/>
        <d v="2015-08-05T00:00:00"/>
        <d v="2021-10-02T00:00:00"/>
        <d v="2011-03-13T00:00:00"/>
        <d v="2014-09-08T00:00:00"/>
        <d v="2016-05-02T00:00:00"/>
        <d v="2016-05-09T00:00:00"/>
        <d v="2019-08-24T00:00:00"/>
        <d v="2020-04-13T00:00:00"/>
        <d v="2011-09-24T00:00:00"/>
        <d v="2016-11-07T00:00:00"/>
        <d v="2019-09-22T00:00:00"/>
        <d v="2012-01-03T00:00:00"/>
        <d v="2013-02-14T00:00:00"/>
        <d v="2023-10-19T00:00:00"/>
        <d v="2017-11-10T00:00:00"/>
        <d v="2011-05-26T00:00:00"/>
        <d v="2023-03-05T00:00:00"/>
        <d v="2022-02-12T00:00:00"/>
        <d v="2018-04-26T00:00:00"/>
        <d v="2011-12-25T00:00:00"/>
        <d v="2012-12-03T00:00:00"/>
        <d v="2022-12-18T00:00:00"/>
        <d v="2020-02-19T00:00:00"/>
        <d v="2022-04-12T00:00:00"/>
        <d v="2015-08-08T00:00:00"/>
        <d v="2021-03-30T00:00:00"/>
        <d v="2011-08-27T00:00:00"/>
        <d v="2016-07-28T00:00:00"/>
        <d v="2017-07-24T00:00:00"/>
        <d v="2014-01-15T00:00:00"/>
        <d v="2021-05-27T00:00:00"/>
        <d v="2021-12-20T00:00:00"/>
        <d v="2023-10-20T00:00:00"/>
        <d v="2022-11-02T00:00:00"/>
        <d v="2016-12-26T00:00:00"/>
        <d v="2024-05-19T00:00:00"/>
        <d v="2025-03-27T00:00:00"/>
        <d v="2023-08-28T00:00:00"/>
        <d v="2017-10-07T00:00:00"/>
        <d v="2016-03-21T00:00:00"/>
        <d v="2021-07-06T00:00:00"/>
        <d v="2013-02-01T00:00:00"/>
        <d v="2025-03-25T00:00:00"/>
        <d v="2021-07-08T00:00:00"/>
        <d v="2012-02-29T00:00:00"/>
        <d v="2021-06-06T00:00:00"/>
        <d v="2018-03-01T00:00:00"/>
        <d v="2014-03-02T00:00:00"/>
        <d v="2020-07-04T00:00:00"/>
        <d v="2025-05-12T00:00:00"/>
        <d v="2012-07-01T00:00:00"/>
        <d v="2024-03-03T00:00:00"/>
        <d v="2019-02-28T00:00:00"/>
        <d v="2017-03-30T00:00:00"/>
        <d v="2016-02-12T00:00:00"/>
        <d v="2018-08-16T00:00:00"/>
        <d v="2016-11-02T00:00:00"/>
        <d v="2014-01-23T00:00:00"/>
        <d v="2021-03-19T00:00:00"/>
        <d v="2013-07-14T00:00:00"/>
        <d v="2015-11-21T00:00:00"/>
        <d v="2022-07-19T00:00:00"/>
        <d v="2014-09-05T00:00:00"/>
        <d v="2023-01-14T00:00:00"/>
        <d v="2021-06-15T00:00:00"/>
        <d v="2010-09-11T00:00:00"/>
        <d v="2018-01-23T00:00:00"/>
        <d v="2017-10-29T00:00:00"/>
        <d v="2024-11-02T00:00:00"/>
        <d v="2012-08-13T00:00:00"/>
        <d v="2013-09-01T00:00:00"/>
        <d v="2011-04-02T00:00:00"/>
        <d v="2016-10-17T00:00:00"/>
        <d v="2015-12-19T00:00:00"/>
        <d v="2024-12-18T00:00:00"/>
        <d v="2018-12-11T00:00:00"/>
        <d v="2012-12-11T00:00:00"/>
        <d v="2016-04-23T00:00:00"/>
        <d v="2024-09-08T00:00:00"/>
        <d v="2019-06-20T00:00:00"/>
        <d v="2023-08-21T00:00:00"/>
        <d v="2020-02-13T00:00:00"/>
        <d v="2023-04-16T00:00:00"/>
        <d v="2020-01-12T00:00:00"/>
        <d v="2016-04-25T00:00:00"/>
        <d v="2011-03-18T00:00:00"/>
        <d v="2023-01-23T00:00:00"/>
        <d v="2016-10-26T00:00:00"/>
        <d v="2018-06-12T00:00:00"/>
        <d v="2022-05-18T00:00:00"/>
        <d v="2025-03-04T00:00:00"/>
        <d v="2024-12-04T00:00:00"/>
        <d v="2019-12-05T00:00:00"/>
        <d v="2023-05-24T00:00:00"/>
        <d v="2019-11-21T00:00:00"/>
        <d v="2018-09-16T00:00:00"/>
        <d v="2021-11-06T00:00:00"/>
        <d v="2011-03-29T00:00:00"/>
        <d v="2022-10-06T00:00:00"/>
        <d v="2022-08-09T00:00:00"/>
        <d v="2021-05-24T00:00:00"/>
        <d v="2018-03-25T00:00:00"/>
        <d v="2020-12-17T00:00:00"/>
        <d v="2020-04-26T00:00:00"/>
        <d v="2014-08-27T00:00:00"/>
        <d v="2010-11-03T00:00:00"/>
        <d v="2013-09-12T00:00:00"/>
        <d v="2011-02-07T00:00:00"/>
        <d v="2015-07-08T00:00:00"/>
        <d v="2023-07-27T00:00:00"/>
        <d v="2018-02-26T00:00:00"/>
        <d v="2014-08-11T00:00:00"/>
        <d v="2011-09-16T00:00:00"/>
        <d v="2020-05-07T00:00:00"/>
        <d v="2011-11-19T00:00:00"/>
        <d v="2018-07-04T00:00:00"/>
        <d v="2012-09-18T00:00:00"/>
        <d v="2018-01-21T00:00:00"/>
        <d v="2020-08-28T00:00:00"/>
        <d v="2023-09-18T00:00:00"/>
        <d v="2018-03-16T00:00:00"/>
        <d v="2014-05-12T00:00:00"/>
        <d v="2022-07-10T00:00:00"/>
        <d v="2017-11-22T00:00:00"/>
        <d v="2013-05-08T00:00:00"/>
        <d v="2017-10-14T00:00:00"/>
        <d v="2012-07-13T00:00:00"/>
        <d v="2012-03-20T00:00:00"/>
        <d v="2010-10-16T00:00:00"/>
        <d v="2021-12-03T00:00:00"/>
        <d v="2024-09-22T00:00:00"/>
        <d v="2017-08-11T00:00:00"/>
        <d v="2015-01-27T00:00:00"/>
        <d v="2021-12-16T00:00:00"/>
        <d v="2015-01-19T00:00:00"/>
        <d v="2015-08-26T00:00:00"/>
        <d v="2019-11-24T00:00:00"/>
        <d v="2015-10-11T00:00:00"/>
        <d v="2024-09-28T00:00:00"/>
        <d v="2013-10-14T00:00:00"/>
        <d v="2020-01-08T00:00:00"/>
        <d v="2013-04-20T00:00:00"/>
        <d v="2011-04-24T00:00:00"/>
        <d v="2020-11-19T00:00:00"/>
        <d v="2020-07-15T00:00:00"/>
        <d v="2020-05-25T00:00:00"/>
        <d v="2022-04-30T00:00:00"/>
        <d v="2024-10-05T00:00:00"/>
        <d v="2019-06-13T00:00:00"/>
        <d v="2015-09-17T00:00:00"/>
        <d v="2016-02-07T00:00:00"/>
        <d v="2022-12-11T00:00:00"/>
        <d v="2021-08-17T00:00:00"/>
        <d v="2013-01-11T00:00:00"/>
        <d v="2019-05-28T00:00:00"/>
        <d v="2016-05-06T00:00:00"/>
        <d v="2024-12-24T00:00:00"/>
        <d v="2023-01-12T00:00:00"/>
        <d v="2021-05-13T00:00:00"/>
        <d v="2016-08-23T00:00:00"/>
        <d v="2023-04-23T00:00:00"/>
        <d v="2016-06-06T00:00:00"/>
        <d v="2016-07-25T00:00:00"/>
        <d v="2013-09-24T00:00:00"/>
        <d v="2022-02-24T00:00:00"/>
        <d v="2016-05-25T00:00:00"/>
        <d v="2017-02-11T00:00:00"/>
        <d v="2023-03-14T00:00:00"/>
        <d v="2012-11-28T00:00:00"/>
        <d v="2024-07-28T00:00:00"/>
        <d v="2016-06-03T00:00:00"/>
        <d v="2012-07-27T00:00:00"/>
        <d v="2015-03-22T00:00:00"/>
        <d v="2016-10-12T00:00:00"/>
        <d v="2024-07-29T00:00:00"/>
        <d v="2020-09-09T00:00:00"/>
        <d v="2022-12-14T00:00:00"/>
        <d v="2020-07-20T00:00:00"/>
        <d v="2015-09-21T00:00:00"/>
        <d v="2018-09-14T00:00:00"/>
        <d v="2022-03-31T00:00:00"/>
        <d v="2015-04-15T00:00:00"/>
        <d v="2024-10-04T00:00:00"/>
        <d v="2012-08-08T00:00:00"/>
        <d v="2014-04-03T00:00:00"/>
        <d v="2023-09-16T00:00:00"/>
        <d v="2016-08-13T00:00:00"/>
        <d v="2014-07-18T00:00:00"/>
        <d v="2011-04-14T00:00:00"/>
        <d v="2012-03-04T00:00:00"/>
        <d v="2013-10-28T00:00:00"/>
        <d v="2018-05-12T00:00:00"/>
        <d v="2018-09-02T00:00:00"/>
        <d v="2020-09-29T00:00:00"/>
        <d v="2012-10-21T00:00:00"/>
        <d v="2012-12-26T00:00:00"/>
        <d v="2021-03-05T00:00:00"/>
        <d v="2012-04-22T00:00:00"/>
        <d v="2018-03-20T00:00:00"/>
        <d v="2017-02-28T00:00:00"/>
        <d v="2024-04-18T00:00:00"/>
        <d v="2020-03-09T00:00:00"/>
        <d v="2018-01-08T00:00:00"/>
        <d v="2015-11-22T00:00:00"/>
        <d v="2019-10-18T00:00:00"/>
        <d v="2017-06-04T00:00:00"/>
        <d v="2025-04-30T00:00:00"/>
        <d v="2012-04-08T00:00:00"/>
        <d v="2015-10-07T00:00:00"/>
        <d v="2014-09-03T00:00:00"/>
        <d v="2017-12-09T00:00:00"/>
        <d v="2019-01-30T00:00:00"/>
        <d v="2019-11-25T00:00:00"/>
        <d v="2012-06-16T00:00:00"/>
        <d v="2011-12-13T00:00:00"/>
        <d v="2017-11-26T00:00:00"/>
        <d v="2021-12-07T00:00:00"/>
        <d v="2024-01-29T00:00:00"/>
        <d v="2014-06-25T00:00:00"/>
        <d v="2016-07-06T00:00:00"/>
        <d v="2023-01-27T00:00:00"/>
        <d v="2011-08-08T00:00:00"/>
        <d v="2013-03-24T00:00:00"/>
        <d v="2023-08-15T00:00:00"/>
        <d v="2018-09-27T00:00:00"/>
        <d v="2010-11-24T00:00:00"/>
        <d v="2021-11-14T00:00:00"/>
        <d v="2014-07-17T00:00:00"/>
        <d v="2013-08-18T00:00:00"/>
        <d v="2015-10-19T00:00:00"/>
        <d v="2025-01-26T00:00:00"/>
        <d v="2017-04-07T00:00:00"/>
        <d v="2018-10-02T00:00:00"/>
        <d v="2022-03-22T00:00:00"/>
        <d v="2014-02-25T00:00:00"/>
        <d v="2020-02-11T00:00:00"/>
        <d v="2019-09-15T00:00:00"/>
        <d v="2015-04-14T00:00:00"/>
        <d v="2019-04-23T00:00:00"/>
        <d v="2013-10-16T00:00:00"/>
        <d v="2024-07-24T00:00:00"/>
        <d v="2017-09-25T00:00:00"/>
        <d v="2019-05-30T00:00:00"/>
        <d v="2017-02-26T00:00:00"/>
        <d v="2011-08-22T00:00:00"/>
        <d v="2016-11-28T00:00:00"/>
        <d v="2016-02-03T00:00:00"/>
        <d v="2015-11-10T00:00:00"/>
        <d v="2022-11-24T00:00:00"/>
        <d v="2011-04-27T00:00:00"/>
        <d v="2020-10-09T00:00:00"/>
        <d v="2018-02-28T00:00:00"/>
        <d v="2012-09-15T00:00:00"/>
        <d v="2016-03-24T00:00:00"/>
        <d v="2014-09-29T00:00:00"/>
        <d v="2018-03-07T00:00:00"/>
        <d v="2021-07-09T00:00:00"/>
        <d v="2015-10-02T00:00:00"/>
        <d v="2020-05-16T00:00:00"/>
        <d v="2010-10-06T00:00:00"/>
        <d v="2017-12-25T00:00:00"/>
        <d v="2025-03-12T00:00:00"/>
        <d v="2016-03-06T00:00:00"/>
        <d v="2014-10-05T00:00:00"/>
        <d v="2015-05-08T00:00:00"/>
        <d v="2016-04-22T00:00:00"/>
        <d v="2020-04-22T00:00:00"/>
        <d v="2015-03-26T00:00:00"/>
        <d v="2016-11-01T00:00:00"/>
        <d v="2022-05-21T00:00:00"/>
        <d v="2021-01-13T00:00:00"/>
        <d v="2020-10-12T00:00:00"/>
        <d v="2012-03-07T00:00:00"/>
        <d v="2012-03-10T00:00:00"/>
        <d v="2023-09-25T00:00:00"/>
        <d v="2023-07-13T00:00:00"/>
        <d v="2012-05-04T00:00:00"/>
        <d v="2014-04-19T00:00:00"/>
        <d v="2010-09-09T00:00:00"/>
        <d v="2016-06-07T00:00:00"/>
        <d v="2017-12-10T00:00:00"/>
        <d v="2019-03-28T00:00:00"/>
        <d v="2016-07-26T00:00:00"/>
        <d v="2015-01-29T00:00:00"/>
        <d v="2016-06-08T00:00:00"/>
        <d v="2021-10-23T00:00:00"/>
        <d v="2018-05-30T00:00:00"/>
        <d v="2011-03-19T00:00:00"/>
        <d v="2017-10-19T00:00:00"/>
        <d v="2015-10-10T00:00:00"/>
        <d v="2014-06-28T00:00:00"/>
        <d v="2014-01-27T00:00:00"/>
        <d v="2021-11-22T00:00:00"/>
        <d v="2021-09-14T00:00:00"/>
        <d v="2018-02-16T00:00:00"/>
        <d v="2013-02-11T00:00:00"/>
        <d v="2020-09-10T00:00:00"/>
        <d v="2013-02-17T00:00:00"/>
        <d v="2021-05-17T00:00:00"/>
        <d v="2014-11-25T00:00:00"/>
        <d v="2021-12-26T00:00:00"/>
        <d v="2019-06-07T00:00:00"/>
        <d v="2022-09-03T00:00:00"/>
        <d v="2015-04-23T00:00:00"/>
        <d v="2012-06-07T00:00:00"/>
        <d v="2016-12-08T00:00:00"/>
        <d v="2011-10-26T00:00:00"/>
        <d v="2017-05-25T00:00:00"/>
        <d v="2012-06-12T00:00:00"/>
        <d v="2018-07-20T00:00:00"/>
        <d v="2012-06-28T00:00:00"/>
        <d v="2012-05-13T00:00:00"/>
        <d v="2017-01-11T00:00:00"/>
        <d v="2016-12-06T00:00:00"/>
        <d v="2022-10-15T00:00:00"/>
        <d v="2018-01-02T00:00:00"/>
        <d v="2024-12-13T00:00:00"/>
        <d v="2018-01-20T00:00:00"/>
        <d v="2019-05-24T00:00:00"/>
        <d v="2024-06-07T00:00:00"/>
        <d v="2017-08-20T00:00:00"/>
        <d v="2012-04-09T00:00:00"/>
        <d v="2019-03-16T00:00:00"/>
        <d v="2010-10-11T00:00:00"/>
        <d v="2015-11-26T00:00:00"/>
        <d v="2010-10-01T00:00:00"/>
        <d v="2023-01-29T00:00:00"/>
        <d v="2011-01-30T00:00:00"/>
        <d v="2024-03-19T00:00:00"/>
        <d v="2017-11-06T00:00:00"/>
        <d v="2022-01-12T00:00:00"/>
        <d v="2012-10-14T00:00:00"/>
        <d v="2017-05-23T00:00:00"/>
        <d v="2015-03-05T00:00:00"/>
        <d v="2015-01-09T00:00:00"/>
        <d v="2020-09-18T00:00:00"/>
        <d v="2019-06-05T00:00:00"/>
        <d v="2014-12-21T00:00:00"/>
        <d v="2023-02-17T00:00:00"/>
        <d v="2021-06-21T00:00:00"/>
        <d v="2024-12-14T00:00:00"/>
        <d v="2016-03-09T00:00:00"/>
        <d v="2024-03-31T00:00:00"/>
        <d v="2020-12-11T00:00:00"/>
        <d v="2013-04-19T00:00:00"/>
        <d v="2019-03-06T00:00:00"/>
        <d v="2013-01-07T00:00:00"/>
        <d v="2021-07-04T00:00:00"/>
        <d v="2018-05-16T00:00:00"/>
        <d v="2020-03-21T00:00:00"/>
        <d v="2014-12-03T00:00:00"/>
        <d v="2012-02-17T00:00:00"/>
        <d v="2022-01-25T00:00:00"/>
        <d v="2015-12-29T00:00:00"/>
        <d v="2013-01-18T00:00:00"/>
        <d v="2012-12-22T00:00:00"/>
        <d v="2016-12-13T00:00:00"/>
        <d v="2011-11-06T00:00:00"/>
        <d v="2015-08-28T00:00:00"/>
        <d v="2017-03-06T00:00:00"/>
        <d v="2023-07-21T00:00:00"/>
        <d v="2024-02-19T00:00:00"/>
        <d v="2022-11-05T00:00:00"/>
        <d v="2021-10-14T00:00:00"/>
        <d v="2015-07-29T00:00:00"/>
        <d v="2019-12-23T00:00:00"/>
        <d v="2024-03-04T00:00:00"/>
        <d v="2024-06-04T00:00:00"/>
        <d v="2023-11-15T00:00:00"/>
        <d v="2014-01-14T00:00:00"/>
        <d v="2022-07-21T00:00:00"/>
        <d v="2020-11-21T00:00:00"/>
        <d v="2014-06-02T00:00:00"/>
        <d v="2015-01-28T00:00:00"/>
        <d v="2013-01-17T00:00:00"/>
        <d v="2016-02-20T00:00:00"/>
        <d v="2017-06-15T00:00:00"/>
        <d v="2022-11-01T00:00:00"/>
        <d v="2015-03-09T00:00:00"/>
        <d v="2016-08-26T00:00:00"/>
        <d v="2015-07-13T00:00:00"/>
        <d v="2018-11-29T00:00:00"/>
        <d v="2025-05-21T00:00:00"/>
        <d v="2019-01-29T00:00:00"/>
        <d v="2013-07-13T00:00:00"/>
        <d v="2011-07-23T00:00:00"/>
        <d v="2011-12-04T00:00:00"/>
        <d v="2025-02-10T00:00:00"/>
        <d v="2012-06-01T00:00:00"/>
        <d v="2015-04-24T00:00:00"/>
        <d v="2020-01-23T00:00:00"/>
        <d v="2019-02-06T00:00:00"/>
        <d v="2019-03-22T00:00:00"/>
        <d v="2013-05-30T00:00:00"/>
        <d v="2011-08-30T00:00:00"/>
        <d v="2011-02-11T00:00:00"/>
        <d v="2011-07-29T00:00:00"/>
        <d v="2020-10-17T00:00:00"/>
        <d v="2010-11-22T00:00:00"/>
        <d v="2013-05-12T00:00:00"/>
        <d v="2012-03-23T00:00:00"/>
        <d v="2021-09-23T00:00:00"/>
        <d v="2014-10-13T00:00:00"/>
        <d v="2023-02-24T00:00:00"/>
        <d v="2017-05-18T00:00:00"/>
        <d v="2017-08-30T00:00:00"/>
        <d v="2017-11-18T00:00:00"/>
        <d v="2021-01-31T00:00:00"/>
        <d v="2012-03-12T00:00:00"/>
        <d v="2018-06-08T00:00:00"/>
        <d v="2014-07-30T00:00:00"/>
        <d v="2011-07-04T00:00:00"/>
        <d v="2012-10-01T00:00:00"/>
        <d v="2013-03-09T00:00:00"/>
        <d v="2017-11-02T00:00:00"/>
        <d v="2011-10-18T00:00:00"/>
        <d v="2023-10-25T00:00:00"/>
        <d v="2025-08-13T00:00:00"/>
        <d v="2016-11-12T00:00:00"/>
        <d v="2023-07-03T00:00:00"/>
        <d v="2019-11-12T00:00:00"/>
        <d v="2014-11-13T00:00:00"/>
        <d v="2011-04-10T00:00:00"/>
        <d v="2017-04-17T00:00:00"/>
        <d v="2019-04-21T00:00:00"/>
        <d v="2014-05-30T00:00:00"/>
        <d v="2015-12-14T00:00:00"/>
        <d v="2019-01-18T00:00:00"/>
        <d v="2022-05-20T00:00:00"/>
        <d v="2018-09-24T00:00:00"/>
        <d v="2024-01-02T00:00:00"/>
        <d v="2011-02-02T00:00:00"/>
        <d v="2016-08-14T00:00:00"/>
        <d v="2012-06-06T00:00:00"/>
        <d v="2017-09-02T00:00:00"/>
        <d v="2015-02-04T00:00:00"/>
        <d v="2017-12-21T00:00:00"/>
        <d v="2015-02-10T00:00:00"/>
        <d v="2023-11-29T00:00:00"/>
        <d v="2016-12-17T00:00:00"/>
        <d v="2014-12-25T00:00:00"/>
        <d v="2021-07-25T00:00:00"/>
        <d v="2013-07-31T00:00:00"/>
        <d v="2020-12-21T00:00:00"/>
        <d v="2022-04-11T00:00:00"/>
        <d v="2011-08-04T00:00:00"/>
        <d v="2016-06-23T00:00:00"/>
        <d v="2023-09-22T00:00:00"/>
        <d v="2015-07-30T00:00:00"/>
        <d v="2023-04-25T00:00:00"/>
        <d v="2017-01-12T00:00:00"/>
        <d v="2016-09-06T00:00:00"/>
        <d v="2023-02-10T00:00:00"/>
        <d v="2013-04-28T00:00:00"/>
        <d v="2021-12-01T00:00:00"/>
        <d v="2014-02-27T00:00:00"/>
        <d v="2017-01-14T00:00:00"/>
        <d v="2019-09-28T00:00:00"/>
        <d v="2018-07-18T00:00:00"/>
        <d v="2018-01-01T00:00:00"/>
        <d v="2013-05-07T00:00:00"/>
        <d v="2014-08-22T00:00:00"/>
        <d v="2012-08-21T00:00:00"/>
        <d v="2020-03-08T00:00:00"/>
        <d v="2017-01-18T00:00:00"/>
        <d v="2017-05-21T00:00:00"/>
        <d v="2023-06-29T00:00:00"/>
        <d v="2019-11-09T00:00:00"/>
        <d v="2021-05-14T00:00:00"/>
        <d v="2011-12-31T00:00:00"/>
        <d v="2013-12-09T00:00:00"/>
        <d v="2019-10-22T00:00:00"/>
        <d v="2011-09-02T00:00:00"/>
        <d v="2020-05-04T00:00:00"/>
        <d v="2017-11-19T00:00:00"/>
        <d v="2018-07-16T00:00:00"/>
        <d v="2018-04-08T00:00:00"/>
        <d v="2022-01-09T00:00:00"/>
        <d v="2020-08-08T00:00:00"/>
        <d v="2016-08-05T00:00:00"/>
        <d v="2016-05-12T00:00:00"/>
        <d v="2016-05-14T00:00:00"/>
        <d v="2015-06-01T00:00:00"/>
        <d v="2010-08-27T00:00:00"/>
        <d v="2010-10-31T00:00:00"/>
        <d v="2023-05-25T00:00:00"/>
        <d v="2013-03-20T00:00:00"/>
        <d v="2016-03-04T00:00:00"/>
        <d v="2013-01-13T00:00:00"/>
        <d v="2025-06-24T00:00:00"/>
        <d v="2025-05-25T00:00:00"/>
        <d v="2024-07-23T00:00:00"/>
        <d v="2021-06-11T00:00:00"/>
        <d v="2012-07-24T00:00:00"/>
        <d v="2022-11-23T00:00:00"/>
        <d v="2022-09-01T00:00:00"/>
        <d v="2019-03-07T00:00:00"/>
        <d v="2010-12-01T00:00:00"/>
        <d v="2018-10-03T00:00:00"/>
        <d v="2016-04-10T00:00:00"/>
        <d v="2016-07-17T00:00:00"/>
        <d v="2018-12-27T00:00:00"/>
        <d v="2015-07-25T00:00:00"/>
        <d v="2017-03-10T00:00:00"/>
        <d v="2011-06-04T00:00:00"/>
        <d v="2013-07-22T00:00:00"/>
        <d v="2020-05-21T00:00:00"/>
        <d v="2010-10-04T00:00:00"/>
        <d v="2018-03-05T00:00:00"/>
        <d v="2013-12-27T00:00:00"/>
        <d v="2019-06-19T00:00:00"/>
        <d v="2017-12-03T00:00:00"/>
        <d v="2023-04-30T00:00:00"/>
        <d v="2024-10-09T00:00:00"/>
        <d v="2020-02-28T00:00:00"/>
        <d v="2020-07-08T00:00:00"/>
        <d v="2010-12-08T00:00:00"/>
        <d v="2018-01-28T00:00:00"/>
        <d v="2022-10-20T00:00:00"/>
        <d v="2010-10-23T00:00:00"/>
        <d v="2015-01-04T00:00:00"/>
        <d v="2021-03-06T00:00:00"/>
        <d v="2014-03-06T00:00:00"/>
        <d v="2024-10-12T00:00:00"/>
        <d v="2013-06-27T00:00:00"/>
        <d v="2014-02-02T00:00:00"/>
        <d v="2011-12-22T00:00:00"/>
        <d v="2017-10-20T00:00:00"/>
        <d v="2013-11-20T00:00:00"/>
        <d v="2020-01-28T00:00:00"/>
        <d v="2014-05-13T00:00:00"/>
        <d v="2020-05-06T00:00:00"/>
        <d v="2018-07-05T00:00:00"/>
        <d v="2012-02-01T00:00:00"/>
        <d v="2022-10-29T00:00:00"/>
        <d v="2014-10-31T00:00:00"/>
        <d v="2022-02-08T00:00:00"/>
        <d v="2015-09-12T00:00:00"/>
        <d v="2011-06-03T00:00:00"/>
        <d v="2020-03-03T00:00:00"/>
        <d v="2012-09-08T00:00:00"/>
        <d v="2016-12-22T00:00:00"/>
        <d v="2023-12-15T00:00:00"/>
        <d v="2012-09-12T00:00:00"/>
        <d v="2019-11-02T00:00:00"/>
        <d v="2012-10-05T00:00:00"/>
        <d v="2022-10-10T00:00:00"/>
        <d v="2024-12-07T00:00:00"/>
        <d v="2018-11-18T00:00:00"/>
        <d v="2019-02-11T00:00:00"/>
        <d v="2016-04-27T00:00:00"/>
        <d v="2021-05-29T00:00:00"/>
        <d v="2025-01-30T00:00:00"/>
        <d v="2012-06-03T00:00:00"/>
        <d v="2016-05-17T00:00:00"/>
        <d v="2023-06-16T00:00:00"/>
        <d v="2010-08-21T00:00:00"/>
        <d v="2020-11-26T00:00:00"/>
        <d v="2013-03-19T00:00:00"/>
        <d v="2021-09-27T00:00:00"/>
        <d v="2016-10-23T00:00:00"/>
        <d v="2011-04-15T00:00:00"/>
        <d v="2021-01-12T00:00:00"/>
        <d v="2020-10-24T00:00:00"/>
        <d v="2025-01-31T00:00:00"/>
        <d v="2019-05-21T00:00:00"/>
        <d v="2015-03-29T00:00:00"/>
        <d v="2025-01-14T00:00:00"/>
        <d v="2016-12-14T00:00:00"/>
        <d v="2019-08-07T00:00:00"/>
        <d v="2023-11-08T00:00:00"/>
        <d v="2024-04-14T00:00:00"/>
        <d v="2014-02-22T00:00:00"/>
        <d v="2018-07-06T00:00:00"/>
        <d v="2015-02-02T00:00:00"/>
        <d v="2014-10-17T00:00:00"/>
        <d v="2020-06-16T00:00:00"/>
        <d v="2012-09-06T00:00:00"/>
        <d v="2025-05-28T00:00:00"/>
        <d v="2021-10-08T00:00:00"/>
        <d v="2011-04-12T00:00:00"/>
        <d v="2018-12-02T00:00:00"/>
        <d v="2013-07-11T00:00:00"/>
        <d v="2019-07-13T00:00:00"/>
        <d v="2021-04-27T00:00:00"/>
        <d v="2010-08-26T00:00:00"/>
        <d v="2012-06-19T00:00:00"/>
        <d v="2015-02-24T00:00:00"/>
        <d v="2018-09-04T00:00:00"/>
        <d v="2023-04-24T00:00:00"/>
        <d v="2010-11-21T00:00:00"/>
        <d v="2011-08-25T00:00:00"/>
        <d v="2011-05-09T00:00:00"/>
        <d v="2020-10-27T00:00:00"/>
        <d v="2023-11-04T00:00:00"/>
        <d v="2011-01-13T00:00:00"/>
        <d v="2012-07-11T00:00:00"/>
        <d v="2021-12-09T00:00:00"/>
        <d v="2024-04-24T00:00:00"/>
        <d v="2011-04-26T00:00:00"/>
        <d v="2021-11-04T00:00:00"/>
        <d v="2017-07-03T00:00:00"/>
        <d v="2021-04-05T00:00:00"/>
        <d v="2013-01-28T00:00:00"/>
        <d v="2021-03-23T00:00:00"/>
        <d v="2014-04-09T00:00:00"/>
        <d v="2016-10-16T00:00:00"/>
        <d v="2021-07-01T00:00:00"/>
        <d v="2011-06-27T00:00:00"/>
        <d v="2012-08-10T00:00:00"/>
        <d v="2021-04-08T00:00:00"/>
        <d v="2017-12-27T00:00:00"/>
        <d v="2022-07-22T00:00:00"/>
        <d v="2018-01-13T00:00:00"/>
        <d v="2018-01-19T00:00:00"/>
        <d v="2022-10-16T00:00:00"/>
        <d v="2013-06-09T00:00:00"/>
        <d v="2015-10-30T00:00:00"/>
        <d v="2016-01-05T00:00:00"/>
        <d v="2014-04-29T00:00:00"/>
        <d v="2018-07-08T00:00:00"/>
        <d v="2023-01-02T00:00:00"/>
        <d v="2023-04-19T00:00:00"/>
        <d v="2014-06-30T00:00:00"/>
        <d v="2019-04-16T00:00:00"/>
        <d v="2022-12-19T00:00:00"/>
        <d v="2011-12-27T00:00:00"/>
        <d v="2013-11-25T00:00:00"/>
        <d v="2011-09-29T00:00:00"/>
        <d v="2014-07-06T00:00:00"/>
        <d v="2017-08-16T00:00:00"/>
        <d v="2012-03-08T00:00:00"/>
        <d v="2020-12-12T00:00:00"/>
        <d v="2020-03-22T00:00:00"/>
        <d v="2025-04-06T00:00:00"/>
        <d v="2018-07-10T00:00:00"/>
        <d v="2021-10-28T00:00:00"/>
        <d v="2019-11-05T00:00:00"/>
        <d v="2017-10-03T00:00:00"/>
        <d v="2011-08-15T00:00:00"/>
        <d v="2015-03-18T00:00:00"/>
        <d v="2011-05-24T00:00:00"/>
        <d v="2016-11-05T00:00:00"/>
        <d v="2023-05-03T00:00:00"/>
        <d v="2017-10-16T00:00:00"/>
        <d v="2020-01-03T00:00:00"/>
        <d v="2020-09-08T00:00:00"/>
        <d v="2013-11-30T00:00:00"/>
        <d v="2010-08-23T00:00:00"/>
        <d v="2020-05-02T00:00:00"/>
        <d v="2025-07-11T00:00:00"/>
        <d v="2018-07-26T00:00:00"/>
        <d v="2023-06-27T00:00:00"/>
        <d v="2012-08-23T00:00:00"/>
        <d v="2013-10-25T00:00:00"/>
        <d v="2017-06-07T00:00:00"/>
        <d v="2013-10-07T00:00:00"/>
        <d v="2011-12-14T00:00:00"/>
        <d v="2014-07-19T00:00:00"/>
        <d v="2011-01-23T00:00:00"/>
        <d v="2016-07-16T00:00:00"/>
        <d v="2018-02-27T00:00:00"/>
        <d v="2020-04-20T00:00:00"/>
        <d v="2019-10-23T00:00:00"/>
        <d v="2017-11-14T00:00:00"/>
        <d v="2012-02-23T00:00:00"/>
        <d v="2020-04-17T00:00:00"/>
        <d v="2011-10-27T00:00:00"/>
        <d v="2025-03-08T00:00:00"/>
        <d v="2014-02-09T00:00:00"/>
        <d v="2019-05-14T00:00:00"/>
        <d v="2012-02-02T00:00:00"/>
        <d v="2014-02-11T00:00:00"/>
        <d v="2013-05-20T00:00:00"/>
        <d v="2020-10-26T00:00:00"/>
        <d v="2021-03-14T00:00:00"/>
        <d v="2020-08-20T00:00:00"/>
        <d v="2016-08-18T00:00:00"/>
        <d v="2011-08-12T00:00:00"/>
        <d v="2015-02-17T00:00:00"/>
        <d v="2018-05-13T00:00:00"/>
        <d v="2018-03-13T00:00:00"/>
        <d v="2012-10-03T00:00:00"/>
        <d v="2015-06-20T00:00:00"/>
        <d v="2018-01-03T00:00:00"/>
        <d v="2021-10-11T00:00:00"/>
        <d v="2011-01-18T00:00:00"/>
        <d v="2015-05-06T00:00:00"/>
        <d v="2019-04-17T00:00:00"/>
        <d v="2012-08-12T00:00:00"/>
        <d v="2019-12-24T00:00:00"/>
        <d v="2019-06-18T00:00:00"/>
        <d v="2014-05-16T00:00:00"/>
        <d v="2023-05-06T00:00:00"/>
        <d v="2020-11-18T00:00:00"/>
        <d v="2016-02-16T00:00:00"/>
        <d v="2010-12-31T00:00:00"/>
        <d v="2022-11-19T00:00:00"/>
        <d v="2015-04-30T00:00:00"/>
        <d v="2019-04-14T00:00:00"/>
        <d v="2019-07-04T00:00:00"/>
        <d v="2022-09-12T00:00:00"/>
        <d v="2025-04-21T00:00:00"/>
        <d v="2014-11-11T00:00:00"/>
        <d v="2025-03-24T00:00:00"/>
        <d v="2017-11-03T00:00:00"/>
        <d v="2012-12-01T00:00:00"/>
        <d v="2012-07-26T00:00:00"/>
        <d v="2014-10-02T00:00:00"/>
        <d v="2012-01-31T00:00:00"/>
        <d v="2025-06-30T00:00:00"/>
        <d v="2017-12-01T00:00:00"/>
        <d v="2017-10-06T00:00:00"/>
        <d v="2013-09-27T00:00:00"/>
        <d v="2013-04-29T00:00:00"/>
        <d v="2019-11-28T00:00:00"/>
        <d v="2020-08-21T00:00:00"/>
        <d v="2017-04-10T00:00:00"/>
        <d v="2024-04-16T00:00:00"/>
        <d v="2012-07-02T00:00:00"/>
        <d v="2018-04-27T00:00:00"/>
        <d v="2010-12-11T00:00:00"/>
        <d v="2018-04-15T00:00:00"/>
        <d v="2020-11-28T00:00:00"/>
        <d v="2013-05-06T00:00:00"/>
        <d v="2011-05-06T00:00:00"/>
        <d v="2014-11-14T00:00:00"/>
        <d v="2015-01-16T00:00:00"/>
        <d v="2023-06-17T00:00:00"/>
        <d v="2015-07-16T00:00:00"/>
        <d v="2014-01-12T00:00:00"/>
        <d v="2021-10-19T00:00:00"/>
        <d v="2013-01-03T00:00:00"/>
        <d v="2013-01-22T00:00:00"/>
        <d v="2012-03-27T00:00:00"/>
        <d v="2012-06-26T00:00:00"/>
        <d v="2022-06-23T00:00:00"/>
        <d v="2013-12-17T00:00:00"/>
        <d v="2023-12-27T00:00:00"/>
        <d v="2022-02-28T00:00:00"/>
        <d v="2020-01-09T00:00:00"/>
        <d v="2019-07-01T00:00:00"/>
        <d v="2025-04-07T00:00:00"/>
        <d v="2014-03-19T00:00:00"/>
        <d v="2015-03-01T00:00:00"/>
        <d v="2021-09-28T00:00:00"/>
        <d v="2014-12-08T00:00:00"/>
        <d v="2022-11-15T00:00:00"/>
        <d v="2017-03-21T00:00:00"/>
        <d v="2019-04-27T00:00:00"/>
        <d v="2023-10-26T00:00:00"/>
        <d v="2025-03-16T00:00:00"/>
        <d v="2016-05-26T00:00:00"/>
        <d v="2015-12-01T00:00:00"/>
        <d v="2012-06-09T00:00:00"/>
        <d v="2021-01-02T00:00:00"/>
        <d v="2010-08-30T00:00:00"/>
        <d v="2021-06-29T00:00:00"/>
        <d v="2015-08-16T00:00:00"/>
        <d v="2011-07-30T00:00:00"/>
        <d v="2023-06-12T00:00:00"/>
        <d v="2024-03-14T00:00:00"/>
        <d v="2020-01-05T00:00:00"/>
        <d v="2011-11-08T00:00:00"/>
        <d v="2017-03-16T00:00:00"/>
        <d v="2014-01-05T00:00:00"/>
        <d v="2021-03-20T00:00:00"/>
        <d v="2022-11-07T00:00:00"/>
        <d v="2011-03-05T00:00:00"/>
        <d v="2019-08-05T00:00:00"/>
        <d v="2016-05-15T00:00:00"/>
        <d v="2016-08-10T00:00:00"/>
        <d v="2019-05-03T00:00:00"/>
        <d v="2011-06-25T00:00:00"/>
        <d v="2014-01-04T00:00:00"/>
        <d v="2014-04-27T00:00:00"/>
        <d v="2015-01-23T00:00:00"/>
        <d v="2023-09-26T00:00:00"/>
        <d v="2023-09-29T00:00:00"/>
        <d v="2021-12-11T00:00:00"/>
        <d v="2024-10-03T00:00:00"/>
        <d v="2024-08-21T00:00:00"/>
        <d v="2017-05-07T00:00:00"/>
        <d v="2025-02-01T00:00:00"/>
        <d v="2014-04-22T00:00:00"/>
        <d v="2021-07-10T00:00:00"/>
        <d v="2017-02-15T00:00:00"/>
        <d v="2018-06-27T00:00:00"/>
        <d v="2022-08-13T00:00:00"/>
        <d v="2024-06-12T00:00:00"/>
        <d v="2022-07-24T00:00:00"/>
        <d v="2020-03-17T00:00:00"/>
        <d v="2012-01-08T00:00:00"/>
        <d v="2018-08-17T00:00:00"/>
        <d v="2012-07-21T00:00:00"/>
        <d v="2017-01-07T00:00:00"/>
        <d v="2018-09-11T00:00:00"/>
        <d v="2023-02-14T00:00:00"/>
        <d v="2025-07-10T00:00:00"/>
        <d v="2014-01-11T00:00:00"/>
        <d v="2024-12-25T00:00:00"/>
        <d v="2024-02-18T00:00:00"/>
        <d v="2015-08-09T00:00:00"/>
        <d v="2015-07-01T00:00:00"/>
        <d v="2011-07-11T00:00:00"/>
        <d v="2017-01-08T00:00:00"/>
        <d v="2013-11-05T00:00:00"/>
        <d v="2017-05-04T00:00:00"/>
        <d v="2017-08-28T00:00:00"/>
        <d v="2010-11-09T00:00:00"/>
        <d v="2015-12-08T00:00:00"/>
        <d v="2021-10-16T00:00:00"/>
        <d v="2010-12-12T00:00:00"/>
        <d v="2017-08-26T00:00:00"/>
        <d v="2017-04-16T00:00:00"/>
        <d v="2022-11-12T00:00:00"/>
        <d v="2011-10-05T00:00:00"/>
        <d v="2019-08-21T00:00:00"/>
        <d v="2020-12-20T00:00:00"/>
        <d v="2022-12-25T00:00:00"/>
        <d v="2017-07-27T00:00:00"/>
        <d v="2014-12-05T00:00:00"/>
        <d v="2022-06-06T00:00:00"/>
        <d v="2014-04-28T00:00:00"/>
        <d v="2013-04-05T00:00:00"/>
        <d v="2016-07-27T00:00:00"/>
        <d v="2024-08-29T00:00:00"/>
        <d v="2023-08-12T00:00:00"/>
        <d v="2011-03-11T00:00:00"/>
        <d v="2012-03-16T00:00:00"/>
        <d v="2013-12-06T00:00:00"/>
        <d v="2017-10-08T00:00:00"/>
        <d v="2014-08-29T00:00:00"/>
        <d v="2018-11-24T00:00:00"/>
        <d v="2019-10-09T00:00:00"/>
        <d v="2012-11-25T00:00:00"/>
        <d v="2019-01-13T00:00:00"/>
        <d v="2020-07-31T00:00:00"/>
        <d v="2018-10-31T00:00:00"/>
        <d v="2015-02-14T00:00:00"/>
        <d v="2013-09-06T00:00:00"/>
        <d v="2018-06-04T00:00:00"/>
        <d v="2013-08-08T00:00:00"/>
        <d v="2015-03-07T00:00:00"/>
        <d v="2021-02-16T00:00:00"/>
        <d v="2017-09-08T00:00:00"/>
        <d v="2012-12-19T00:00:00"/>
        <d v="2019-05-08T00:00:00"/>
        <d v="2012-03-25T00:00:00"/>
        <d v="2017-01-01T00:00:00"/>
        <d v="2011-06-12T00:00:00"/>
        <d v="2015-04-03T00:00:00"/>
        <d v="2024-01-25T00:00:00"/>
        <d v="2017-10-10T00:00:00"/>
        <d v="2011-02-16T00:00:00"/>
        <d v="2014-02-17T00:00:00"/>
        <d v="2016-02-02T00:00:00"/>
        <d v="2018-06-23T00:00:00"/>
        <d v="2022-06-25T00:00:00"/>
        <d v="2015-05-12T00:00:00"/>
        <d v="2017-05-08T00:00:00"/>
        <d v="2025-02-26T00:00:00"/>
        <d v="2021-11-26T00:00:00"/>
        <d v="2015-08-01T00:00:00"/>
        <d v="2020-04-11T00:00:00"/>
        <d v="2018-12-09T00:00:00"/>
        <d v="2019-01-03T00:00:00"/>
        <d v="2012-09-29T00:00:00"/>
        <d v="2011-07-21T00:00:00"/>
        <d v="2023-04-01T00:00:00"/>
        <d v="2013-09-21T00:00:00"/>
        <d v="2018-02-12T00:00:00"/>
        <d v="2016-03-07T00:00:00"/>
        <d v="2019-08-16T00:00:00"/>
        <d v="2016-11-04T00:00:00"/>
        <d v="2020-08-11T00:00:00"/>
        <d v="2013-08-29T00:00:00"/>
        <d v="2022-06-12T00:00:00"/>
        <d v="2013-12-30T00:00:00"/>
        <d v="2017-08-19T00:00:00"/>
        <d v="2012-12-25T00:00:00"/>
        <d v="2011-09-05T00:00:00"/>
        <d v="2020-08-14T00:00:00"/>
        <d v="2024-03-28T00:00:00"/>
        <d v="2024-12-28T00:00:00"/>
        <d v="2010-08-17T00:00:00"/>
        <d v="2022-12-10T00:00:00"/>
        <d v="2015-04-05T00:00:00"/>
        <d v="2011-12-19T00:00:00"/>
        <d v="2014-01-30T00:00:00"/>
        <d v="2014-06-19T00:00:00"/>
        <d v="2017-08-06T00:00:00"/>
        <d v="2020-01-13T00:00:00"/>
        <d v="2021-02-22T00:00:00"/>
        <d v="2011-11-12T00:00:00"/>
        <d v="2020-07-25T00:00:00"/>
        <d v="2024-06-18T00:00:00"/>
        <d v="2011-10-08T00:00:00"/>
        <d v="2013-11-13T00:00:00"/>
        <d v="2024-06-22T00:00:00"/>
        <d v="2019-01-15T00:00:00"/>
        <d v="2015-05-18T00:00:00"/>
        <d v="2019-02-18T00:00:00"/>
        <d v="2019-02-14T00:00:00"/>
        <d v="2011-05-23T00:00:00"/>
        <d v="2018-02-05T00:00:00"/>
        <d v="2011-03-01T00:00:00"/>
        <d v="2020-06-28T00:00:00"/>
        <d v="2015-05-04T00:00:00"/>
        <d v="2012-03-21T00:00:00"/>
        <d v="2019-02-04T00:00:00"/>
        <d v="2018-08-14T00:00:00"/>
        <d v="2015-12-21T00:00:00"/>
        <d v="2022-10-03T00:00:00"/>
        <d v="2015-09-14T00:00:00"/>
        <d v="2020-07-16T00:00:00"/>
        <d v="2010-11-27T00:00:00"/>
        <d v="2020-02-03T00:00:00"/>
        <d v="2011-12-03T00:00:00"/>
        <d v="2012-11-13T00:00:00"/>
        <d v="2023-04-10T00:00:00"/>
        <d v="2014-11-20T00:00:00"/>
        <d v="2013-02-18T00:00:00"/>
        <d v="2021-06-01T00:00:00"/>
        <d v="2014-09-02T00:00:00"/>
        <d v="2021-10-04T00:00:00"/>
        <d v="2023-08-23T00:00:00"/>
        <d v="2015-09-13T00:00:00"/>
        <d v="2014-05-25T00:00:00"/>
        <d v="2023-03-08T00:00:00"/>
        <d v="2019-11-10T00:00:00"/>
        <d v="2015-01-08T00:00:00"/>
        <d v="2019-12-11T00:00:00"/>
        <d v="2015-07-04T00:00:00"/>
        <d v="2019-12-03T00:00:00"/>
        <d v="2018-02-14T00:00:00"/>
        <d v="2021-01-11T00:00:00"/>
        <d v="2015-01-24T00:00:00"/>
        <d v="2016-11-23T00:00:00"/>
        <d v="2011-07-06T00:00:00"/>
        <d v="2024-08-05T00:00:00"/>
        <d v="2017-01-31T00:00:00"/>
        <d v="2024-01-08T00:00:00"/>
        <d v="2014-06-17T00:00:00"/>
        <d v="2014-04-17T00:00:00"/>
        <d v="2015-04-11T00:00:00"/>
        <d v="2016-07-02T00:00:00"/>
        <d v="2011-05-18T00:00:00"/>
        <d v="2011-08-18T00:00:00"/>
        <d v="2017-08-17T00:00:00"/>
        <d v="2010-09-30T00:00:00"/>
        <d v="2018-02-17T00:00:00"/>
        <d v="2018-07-27T00:00:00"/>
        <d v="2013-12-29T00:00:00"/>
        <d v="2014-02-21T00:00:00"/>
        <d v="2019-03-18T00:00:00"/>
        <d v="2016-05-01T00:00:00"/>
        <d v="2013-02-10T00:00:00"/>
        <d v="2020-02-26T00:00:00"/>
        <d v="2014-08-08T00:00:00"/>
        <d v="2025-08-01T00:00:00"/>
        <d v="2018-11-08T00:00:00"/>
        <d v="2012-10-19T00:00:00"/>
        <d v="2020-03-15T00:00:00"/>
        <d v="2013-06-22T00:00:00"/>
        <d v="2010-12-20T00:00:00"/>
        <d v="2023-12-17T00:00:00"/>
        <d v="2010-12-22T00:00:00"/>
        <d v="2022-09-21T00:00:00"/>
        <d v="2013-08-13T00:00:00"/>
        <d v="2018-04-04T00:00:00"/>
        <d v="2013-10-19T00:00:00"/>
        <d v="2011-08-02T00:00:00"/>
        <d v="2012-11-27T00:00:00"/>
        <d v="2014-01-13T00:00:00"/>
        <d v="2012-12-06T00:00:00"/>
        <d v="2010-12-23T00:00:00"/>
        <d v="2020-04-21T00:00:00"/>
        <d v="2011-11-04T00:00:00"/>
        <d v="2020-05-09T00:00:00"/>
        <d v="2011-06-29T00:00:00"/>
        <d v="2011-02-28T00:00:00"/>
        <d v="2020-08-06T00:00:00"/>
        <d v="2014-12-17T00:00:00"/>
        <d v="2019-10-12T00:00:00"/>
        <d v="2015-02-27T00:00:00"/>
        <d v="2019-11-27T00:00:00"/>
        <d v="2015-07-27T00:00:00"/>
        <d v="2016-09-19T00:00:00"/>
        <d v="2012-09-05T00:00:00"/>
        <d v="2014-06-08T00:00:00"/>
        <d v="2015-02-15T00:00:00"/>
        <d v="2020-01-14T00:00:00"/>
        <d v="2013-12-07T00:00:00"/>
        <d v="2019-12-16T00:00:00"/>
        <d v="2018-01-15T00:00:00"/>
        <d v="2012-04-04T00:00:00"/>
        <d v="2019-05-07T00:00:00"/>
        <d v="2022-01-24T00:00:00"/>
        <d v="2025-05-05T00:00:00"/>
        <d v="2011-09-18T00:00:00"/>
        <d v="2013-11-14T00:00:00"/>
        <d v="2010-08-20T00:00:00"/>
        <d v="2013-04-04T00:00:00"/>
        <d v="2020-07-21T00:00:00"/>
        <d v="2021-07-23T00:00:00"/>
        <d v="2015-03-06T00:00:00"/>
        <d v="2018-05-05T00:00:00"/>
        <d v="2013-06-28T00:00:00"/>
        <d v="2019-06-28T00:00:00"/>
        <d v="2021-01-25T00:00:00"/>
        <d v="2017-08-23T00:00:00"/>
        <d v="2019-08-06T00:00:00"/>
        <d v="2010-09-20T00:00:00"/>
        <d v="2016-12-24T00:00:00"/>
        <d v="2024-03-29T00:00:00"/>
        <d v="2014-10-11T00:00:00"/>
        <d v="2019-11-20T00:00:00"/>
        <d v="2015-01-31T00:00:00"/>
        <d v="2012-06-27T00:00:00"/>
        <d v="2023-03-29T00:00:00"/>
        <d v="2017-04-27T00:00:00"/>
        <d v="2013-12-16T00:00:00"/>
        <d v="2024-11-27T00:00:00"/>
        <d v="2011-02-04T00:00:00"/>
        <d v="2019-12-17T00:00:00"/>
        <d v="2025-01-23T00:00:00"/>
        <d v="2012-11-21T00:00:00"/>
        <d v="2010-10-03T00:00:00"/>
        <d v="2014-05-15T00:00:00"/>
        <d v="2017-09-23T00:00:00"/>
        <d v="2025-07-27T00:00:00"/>
        <d v="2011-03-06T00:00:00"/>
        <d v="2013-03-06T00:00:00"/>
        <d v="2015-10-14T00:00:00"/>
        <d v="2011-08-23T00:00:00"/>
        <d v="2021-04-18T00:00:00"/>
        <d v="2023-12-28T00:00:00"/>
        <d v="2013-04-16T00:00:00"/>
        <d v="2019-07-22T00:00:00"/>
        <d v="2019-04-10T00:00:00"/>
        <d v="2013-12-14T00:00:00"/>
        <d v="2019-10-24T00:00:00"/>
        <d v="2018-03-12T00:00:00"/>
        <d v="2013-05-04T00:00:00"/>
        <d v="2018-05-20T00:00:00"/>
        <d v="2015-02-09T00:00:00"/>
        <d v="2015-04-02T00:00:00"/>
        <d v="2012-12-10T00:00:00"/>
        <d v="2015-09-27T00:00:00"/>
        <d v="2021-08-04T00:00:00"/>
        <d v="2011-01-12T00:00:00"/>
        <d v="2011-06-11T00:00:00"/>
        <d v="2025-01-08T00:00:00"/>
        <d v="2011-02-27T00:00:00"/>
        <d v="2014-11-30T00:00:00"/>
        <d v="2016-11-03T00:00:00"/>
        <d v="2019-06-29T00:00:00"/>
        <d v="2021-10-12T00:00:00"/>
        <d v="2014-06-14T00:00:00"/>
        <d v="2012-03-22T00:00:00"/>
        <d v="2016-02-21T00:00:00"/>
        <d v="2024-08-16T00:00:00"/>
        <d v="2019-12-09T00:00:00"/>
        <d v="2020-11-01T00:00:00"/>
        <d v="2016-10-06T00:00:00"/>
        <d v="2021-04-10T00:00:00"/>
        <d v="2018-05-11T00:00:00"/>
        <d v="2024-01-06T00:00:00"/>
        <d v="2014-04-07T00:00:00"/>
        <d v="2013-11-28T00:00:00"/>
        <d v="2023-08-19T00:00:00"/>
        <d v="2016-10-08T00:00:00"/>
        <d v="2017-02-14T00:00:00"/>
        <d v="2023-06-21T00:00:00"/>
        <d v="2012-05-25T00:00:00"/>
        <d v="2023-08-26T00:00:00"/>
        <d v="2011-09-30T00:00:00"/>
        <d v="2015-04-27T00:00:00"/>
        <d v="2023-03-15T00:00:00"/>
        <d v="2016-11-11T00:00:00"/>
        <d v="2014-04-08T00:00:00"/>
        <d v="2024-03-08T00:00:00"/>
        <d v="2015-02-06T00:00:00"/>
        <d v="2011-06-07T00:00:00"/>
        <d v="2011-04-20T00:00:00"/>
        <d v="2015-03-04T00:00:00"/>
        <d v="2012-10-10T00:00:00"/>
        <d v="2015-12-24T00:00:00"/>
        <d v="2010-11-01T00:00:00"/>
        <d v="2014-11-23T00:00:00"/>
        <d v="2013-02-28T00:00:00"/>
        <d v="2023-12-22T00:00:00"/>
        <d v="2011-02-10T00:00:00"/>
        <d v="2014-06-29T00:00:00"/>
        <d v="2016-02-11T00:00:00"/>
        <d v="2020-05-28T00:00:00"/>
        <d v="2014-07-13T00:00:00"/>
        <d v="2015-04-10T00:00:00"/>
        <d v="2015-07-10T00:00:00"/>
        <d v="2014-11-19T00:00:00"/>
        <d v="2017-07-17T00:00:00"/>
        <d v="2021-10-06T00:00:00"/>
        <d v="2015-04-12T00:00:00"/>
        <d v="2013-10-04T00:00:00"/>
        <d v="2022-02-02T00:00:00"/>
        <d v="2013-03-30T00:00:00"/>
        <d v="2016-04-21T00:00:00"/>
        <d v="2023-02-13T00:00:00"/>
        <d v="2012-04-15T00:00:00"/>
        <d v="2010-11-30T00:00:00"/>
        <d v="2018-04-10T00:00:00"/>
        <d v="2011-01-04T00:00:00"/>
        <d v="2011-08-16T00:00:00"/>
        <d v="2012-06-30T00:00:00"/>
        <d v="2024-08-12T00:00:00"/>
        <d v="2020-01-29T00:00:00"/>
        <d v="2021-02-17T00:00:00"/>
        <d v="2015-08-11T00:00:00"/>
        <d v="2011-05-22T00:00:00"/>
        <d v="2019-03-12T00:00:00"/>
        <d v="2021-08-21T00:00:00"/>
        <d v="2010-09-18T00:00:00"/>
        <d v="2013-06-05T00:00:00"/>
        <d v="2014-07-03T00:00:00"/>
        <d v="2014-06-18T00:00:00"/>
        <d v="2021-02-19T00:00:00"/>
        <d v="2020-01-02T00:00:00"/>
        <d v="2012-04-29T00:00:00"/>
        <d v="2019-09-10T00:00:00"/>
        <d v="2017-04-22T00:00:00"/>
        <d v="2021-06-24T00:00:00"/>
        <d v="2019-07-25T00:00:00"/>
        <d v="2012-12-12T00:00:00"/>
        <d v="2013-05-09T00:00:00"/>
        <d v="2014-05-23T00:00:00"/>
        <d v="2011-05-08T00:00:00"/>
        <d v="2013-03-02T00:00:00"/>
        <d v="2015-04-09T00:00:00"/>
        <d v="2019-10-03T00:00:00"/>
        <d v="2016-12-18T00:00:00"/>
        <d v="2024-03-27T00:00:00"/>
        <d v="2011-11-27T00:00:00"/>
        <d v="2024-06-24T00:00:00"/>
        <d v="2014-05-21T00:00:00"/>
        <d v="2015-10-13T00:00:00"/>
        <d v="2012-01-27T00:00:00"/>
        <d v="2014-01-26T00:00:00"/>
        <d v="2016-11-25T00:00:00"/>
        <d v="2021-08-03T00:00:00"/>
        <d v="2023-02-03T00:00:00"/>
        <d v="2014-02-20T00:00:00"/>
        <d v="2012-07-14T00:00:00"/>
        <d v="2016-03-15T00:00:00"/>
        <d v="2011-05-05T00:00:00"/>
        <d v="2013-10-06T00:00:00"/>
        <d v="2011-04-13T00:00:00"/>
        <d v="2025-07-15T00:00:00"/>
        <d v="2017-11-07T00:00:00"/>
        <d v="2017-05-06T00:00:00"/>
        <d v="2017-10-15T00:00:00"/>
        <d v="2016-02-17T00:00:00"/>
        <d v="2014-05-24T00:00:00"/>
        <d v="2011-01-02T00:00:00"/>
        <d v="2016-07-24T00:00:00"/>
        <d v="2025-08-04T00:00:00"/>
        <d v="2012-06-29T00:00:00"/>
        <d v="2018-01-22T00:00:00"/>
        <d v="2011-03-12T00:00:00"/>
        <d v="2023-09-28T00:00:00"/>
        <d v="2020-11-07T00:00:00"/>
        <d v="2012-05-14T00:00:00"/>
        <d v="2013-01-12T00:00:00"/>
        <d v="2012-08-05T00:00:00"/>
        <d v="2014-11-17T00:00:00"/>
        <d v="2019-05-23T00:00:00"/>
        <d v="2013-10-05T00:00:00"/>
        <d v="2013-11-06T00:00:00"/>
        <d v="2015-02-21T00:00:00"/>
        <d v="2019-10-29T00:00:00"/>
        <d v="2021-05-22T00:00:00"/>
        <d v="2011-06-01T00:00:00"/>
        <d v="2010-11-10T00:00:00"/>
        <d v="2014-12-07T00:00:00"/>
        <d v="2020-06-29T00:00:00"/>
        <d v="2012-08-30T00:00:00"/>
        <d v="2012-05-10T00:00:00"/>
        <d v="2011-03-03T00:00:00"/>
        <d v="2024-01-07T00:00:00"/>
        <d v="2018-12-06T00:00:00"/>
        <d v="2023-11-06T00:00:00"/>
        <d v="2024-01-16T00:00:00"/>
        <d v="2013-10-20T00:00:00"/>
        <d v="2012-02-10T00:00:00"/>
        <d v="2020-05-27T00:00:00"/>
        <d v="2023-02-01T00:00:00"/>
        <d v="2012-10-17T00:00:00"/>
        <d v="2021-07-07T00:00:00"/>
        <d v="2011-09-01T00:00:00"/>
        <d v="2015-03-17T00:00:00"/>
        <d v="2016-11-09T00:00:00"/>
        <d v="2015-09-23T00:00:00"/>
        <d v="2012-08-02T00:00:00"/>
        <d v="2014-11-12T00:00:00"/>
        <d v="2018-06-10T00:00:00"/>
        <d v="2010-08-22T00:00:00"/>
        <d v="2015-06-24T00:00:00"/>
        <d v="2018-02-04T00:00:00"/>
        <d v="2019-12-27T00:00:00"/>
        <d v="2013-12-11T00:00:00"/>
        <d v="2012-09-27T00:00:00"/>
        <d v="2015-03-30T00:00:00"/>
        <d v="2014-12-11T00:00:00"/>
        <d v="2014-08-28T00:00:00"/>
        <d v="2010-09-19T00:00:00"/>
        <d v="2012-03-11T00:00:00"/>
        <d v="2012-05-08T00:00:00"/>
        <d v="2020-07-17T00:00:00"/>
        <d v="2013-02-27T00:00:00"/>
        <d v="2020-04-30T00:00:00"/>
        <d v="2014-04-30T00:00:00"/>
        <d v="2020-09-22T00:00:00"/>
        <d v="2011-01-14T00:00:00"/>
        <d v="2014-09-19T00:00:00"/>
        <d v="2018-12-29T00:00:00"/>
        <d v="2019-11-26T00:00:00"/>
        <d v="2011-11-16T00:00:00"/>
        <d v="2021-05-30T00:00:00"/>
        <d v="2010-09-17T00:00:00"/>
        <d v="2011-06-20T00:00:00"/>
        <d v="2012-04-06T00:00:00"/>
        <d v="2013-01-05T00:00:00"/>
        <d v="2012-12-24T00:00:00"/>
        <d v="2012-12-16T00:00:00"/>
        <d v="2013-04-30T00:00:00"/>
        <d v="2013-07-06T00:00:00"/>
        <d v="2012-12-31T00:00:00"/>
        <d v="2014-02-15T00:00:00"/>
        <d v="2014-05-20T00:00:00"/>
        <d v="2017-06-18T00:00:00"/>
        <d v="2019-01-22T00:00:00"/>
        <d v="2024-02-06T00:00:00"/>
        <d v="2021-04-06T00:00:00"/>
        <d v="2018-01-04T00:00:00"/>
        <d v="2013-10-30T00:00:00"/>
        <d v="2018-02-06T00:00:00"/>
        <d v="2013-08-20T00:00:00"/>
        <d v="2018-03-23T00:00:00"/>
        <d v="2019-05-25T00:00:00"/>
        <d v="2010-12-10T00:00:00"/>
        <d v="2011-06-26T00:00:00"/>
        <d v="2016-05-07T00:00:00"/>
        <d v="2015-03-15T00:00:00"/>
        <d v="2015-04-01T00:00:00"/>
        <d v="2012-07-03T00:00:00"/>
        <d v="2016-12-07T00:00:00"/>
        <d v="2017-04-05T00:00:00"/>
        <d v="2019-10-06T00:00:00"/>
        <d v="2022-11-29T00:00:00"/>
        <d v="2015-06-27T00:00:00"/>
        <d v="2014-12-14T00:00:00"/>
        <d v="2012-03-06T00:00:00"/>
        <d v="2013-12-05T00:00:00"/>
        <d v="2011-07-01T00:00:00"/>
        <d v="2011-06-23T00:00:00"/>
        <d v="2022-03-20T00:00:00"/>
        <d v="2011-03-25T00:00:00"/>
        <d v="2013-06-24T00:00:00"/>
        <d v="2015-04-07T00:00:00"/>
        <d v="2012-04-19T00:00:00"/>
        <d v="2012-10-24T00:00:00"/>
        <d v="2014-05-10T00:00:00"/>
        <d v="2024-09-10T00:00:00"/>
        <d v="2014-05-04T00:00:00"/>
        <d v="2018-09-15T00:00:00"/>
        <d v="2014-04-15T00:00:00"/>
        <d v="2013-05-31T00:00:00"/>
        <d v="2010-09-22T00:00:00"/>
        <d v="2010-09-16T00:00:00"/>
        <d v="2011-10-20T00:00:00"/>
        <d v="2017-12-22T00:00:00"/>
        <d v="2023-09-19T00:00:00"/>
        <d v="2014-07-07T00:00:00"/>
        <d v="2014-01-25T00:00:00"/>
        <d v="2015-11-18T00:00:00"/>
        <d v="2018-12-13T00:00:00"/>
        <d v="2014-06-06T00:00:00"/>
        <d v="2015-03-28T00:00:00"/>
        <d v="2014-04-12T00:00:00"/>
        <d v="2014-11-18T00:00:00"/>
        <d v="2014-11-07T00:00:00"/>
        <d v="2011-08-09T00:00:00"/>
        <d v="2013-09-17T00:00:00"/>
        <d v="2010-11-04T00:00:00"/>
        <d v="2011-08-03T00:00:00"/>
        <d v="2020-03-01T00:00:00"/>
        <d v="2015-04-21T00:00:00"/>
        <d v="2015-01-01T00:00:00"/>
        <d v="2014-03-27T00:00:00"/>
        <d v="2016-06-17T00:00:00"/>
        <d v="2013-08-24T00:00:00"/>
        <d v="2015-07-12T00:00:00"/>
        <d v="2013-12-26T00:00:00"/>
        <d v="2011-07-18T00:00:00"/>
        <d v="2019-09-03T00:00:00"/>
        <d v="2014-04-26T00:00:00"/>
        <d v="2013-12-31T00:00:00"/>
        <d v="2018-12-03T00:00:00"/>
        <d v="2013-10-15T00:00:00"/>
        <d v="2014-11-29T00:00:00"/>
        <d v="2012-02-27T00:00:00"/>
        <d v="2025-07-05T00:00:00"/>
        <d v="2014-03-13T00:00:00"/>
        <d v="2011-08-13T00:00:00"/>
        <d v="2012-01-15T00:00:00"/>
        <d v="2016-07-15T00:00:00"/>
        <d v="2012-11-18T00:00:00"/>
        <d v="2014-06-15T00:00:00"/>
        <d v="2011-12-12T00:00:00"/>
        <d v="2014-12-27T00:00:00"/>
        <d v="2010-10-08T00:00:00"/>
        <d v="2012-08-15T00:00:00"/>
        <d v="2015-01-07T00:00:00"/>
        <d v="2015-05-13T00:00:00"/>
        <d v="2011-04-29T00:00:00"/>
        <d v="2012-08-16T00:00:00"/>
        <d v="2011-02-03T00:00:00"/>
        <d v="2010-11-15T00:00:00"/>
        <d v="2014-08-16T00:00:00"/>
        <d v="2013-09-25T00:00:00"/>
        <d v="2012-06-13T00:00:00"/>
        <d v="2014-07-11T00:00:00"/>
        <d v="2011-03-27T00:00:00"/>
        <d v="2015-11-07T00:00:00"/>
        <d v="2014-10-23T00:00:00"/>
        <d v="2013-06-10T00:00:00"/>
        <d v="2013-08-14T00:00:00"/>
        <d v="2011-09-04T00:00:00"/>
        <d v="2010-08-25T00:00:00"/>
        <d v="2014-08-18T00:00:00"/>
        <d v="2014-06-04T00:00:00"/>
        <d v="2014-10-04T00:00:00"/>
        <d v="2017-07-28T00:00:00"/>
        <d v="2017-08-18T00:00:00"/>
        <d v="2023-03-23T00:00:00"/>
        <d v="2020-05-18T00:00:00"/>
        <d v="2013-07-05T00:00:00"/>
        <d v="2011-11-10T00:00:00"/>
        <d v="2015-05-30T00:00:00"/>
        <d v="2013-02-24T00:00:00"/>
        <d v="2020-07-14T00:00:00"/>
        <d v="2014-05-01T00:00:00"/>
        <d v="2022-05-24T00:00:00"/>
        <d v="2014-06-12T00:00:00"/>
        <d v="2016-01-15T00:00:00"/>
        <d v="2015-10-17T00:00:00"/>
        <d v="2017-07-08T00:00:00"/>
        <d v="2024-01-24T00:00:00"/>
        <d v="2011-01-28T00:00:00"/>
        <d v="2012-05-18T00:00:00"/>
        <d v="2015-05-17T00:00:00"/>
        <d v="2010-09-29T00:00:00"/>
        <d v="2014-10-22T00:00:00"/>
        <d v="2011-03-21T00:00:00"/>
        <d v="2018-10-21T00:00:00"/>
        <d v="2013-01-21T00:00:00"/>
        <d v="2014-01-31T00:00:00"/>
        <d v="2010-11-17T00:00:00"/>
        <d v="2015-02-03T00:00:00"/>
        <d v="2023-03-30T00:00:00"/>
        <d v="2012-01-20T00:00:00"/>
        <d v="2013-09-18T00:00:00"/>
        <d v="2012-03-09T00:00:00"/>
        <d v="2011-10-03T00:00:00"/>
        <d v="2015-05-09T00:00:00"/>
        <d v="2013-04-17T00:00:00"/>
        <d v="2012-05-23T00:00:00"/>
        <d v="2012-02-22T00:00:00"/>
        <d v="2014-02-05T00:00:00"/>
        <d v="2018-04-11T00:00:00"/>
        <d v="2012-10-08T00:00:00"/>
        <d v="2015-07-26T00:00:00"/>
        <d v="2024-02-15T00:00:00"/>
        <d v="2011-11-25T00:00:00"/>
        <d v="2014-03-11T00:00:00"/>
        <d v="2012-08-17T00:00:00"/>
        <d v="2016-09-01T00:00:00"/>
        <d v="2013-12-01T00:00:00"/>
        <d v="2012-04-28T00:00:00"/>
        <d v="2012-04-07T00:00:00"/>
        <d v="2015-04-16T00:00:00"/>
        <d v="2015-06-15T00:00:00"/>
        <d v="2011-01-11T00:00:00"/>
        <d v="2013-10-03T00:00:00"/>
        <d v="2014-09-18T00:00:00"/>
        <d v="2014-02-19T00:00:00"/>
        <d v="2012-10-06T00:00:00"/>
        <d v="2015-05-23T00:00:00"/>
        <d v="2023-05-22T00:00:00"/>
        <d v="2012-07-09T00:00:00"/>
        <d v="2013-05-10T00:00:00"/>
        <d v="2012-02-12T00:00:00"/>
        <d v="2013-05-21T00:00:00"/>
        <d v="2019-10-26T00:00:00"/>
        <d v="2014-03-20T00:00:00"/>
        <d v="2022-02-13T00:00:00"/>
        <d v="2011-08-01T00:00:00"/>
        <d v="2015-04-20T00:00:00"/>
        <d v="2012-02-08T00:00:00"/>
        <d v="2017-12-24T00:00:00"/>
        <d v="2011-04-19T00:00:00"/>
        <d v="2014-01-21T00:00:00"/>
        <d v="2012-04-24T00:00:00"/>
        <d v="2011-09-08T00:00:00"/>
        <d v="2024-12-08T00:00:00"/>
        <d v="2020-06-11T00:00:00"/>
        <d v="2011-07-31T00:00:00"/>
        <d v="2011-09-28T00:00:00"/>
        <d v="2010-12-19T00:00:00"/>
        <d v="2021-09-11T00:00:00"/>
        <d v="2012-04-18T00:00:00"/>
        <d v="2013-04-21T00:00:00"/>
        <d v="2014-05-28T00:00:00"/>
        <d v="2012-05-05T00:00:00"/>
        <d v="2012-02-24T00:00:00"/>
        <d v="2015-04-28T00:00:00"/>
        <d v="2015-12-30T00:00:00"/>
        <d v="2011-03-04T00:00:00"/>
        <d v="2013-11-17T00:00:00"/>
        <d v="2011-12-11T00:00:00"/>
        <d v="2016-03-22T00:00:00"/>
        <d v="2014-10-20T00:00:00"/>
        <d v="2014-11-04T00:00:00"/>
        <d v="2012-12-27T00:00:00"/>
        <d v="2023-06-15T00:00:00"/>
        <d v="2014-01-06T00:00:00"/>
        <d v="2015-03-13T00:00:00"/>
        <d v="2011-09-25T00:00:00"/>
        <d v="2014-03-23T00:00:00"/>
        <d v="2011-02-06T00:00:00"/>
        <d v="2019-01-25T00:00:00"/>
        <d v="2014-08-13T00:00:00"/>
        <d v="2014-10-08T00:00:00"/>
        <d v="2014-07-14T00:00:00"/>
        <d v="2011-04-18T00:00:00"/>
        <d v="2014-06-20T00:00:00"/>
        <d v="2011-10-21T00:00:00"/>
        <d v="2018-01-10T00:00:00"/>
        <d v="2010-12-18T00:00:00"/>
        <d v="2011-10-04T00:00:00"/>
        <d v="2025-05-06T00:00:00"/>
        <d v="2016-11-08T00:00:00"/>
        <d v="2013-06-07T00:00:00"/>
        <d v="2013-07-21T00:00:00"/>
        <d v="2010-12-29T00:00:00"/>
        <d v="2013-07-04T00:00:00"/>
        <d v="2013-06-20T00:00:00"/>
        <d v="2011-07-09T00:00:00"/>
        <d v="2014-10-30T00:00:00"/>
        <d v="2011-02-14T00:00:00"/>
        <d v="2011-06-02T00:00:00"/>
        <d v="2011-08-29T00:00:00"/>
        <d v="2018-06-24T00:00:00"/>
        <d v="2018-06-28T00:00:00"/>
        <d v="2012-09-19T00:00:00"/>
        <d v="2018-05-04T00:00:00"/>
        <d v="2013-10-12T00:00:00"/>
        <d v="2011-05-16T00:00:00"/>
        <d v="2018-08-23T00:00:00"/>
        <d v="2019-08-28T00:00:00"/>
        <d v="2018-11-02T00:00:00"/>
        <d v="2020-09-12T00:00:00"/>
        <d v="2014-08-31T00:00:00"/>
        <d v="2015-05-22T00:00:00"/>
        <d v="2015-09-28T00:00:00"/>
        <d v="2011-10-28T00:00:00"/>
        <d v="2010-09-06T00:00:00"/>
        <d v="2010-10-09T00:00:00"/>
        <d v="2014-10-09T00:00:00"/>
        <d v="2011-12-23T00:00:00"/>
        <d v="2012-05-29T00:00:00"/>
        <d v="2014-11-02T00:00:00"/>
        <d v="2013-02-07T00:00:00"/>
        <d v="2015-01-17T00:00:00"/>
        <d v="2012-11-15T00:00:00"/>
        <d v="2016-10-30T00:00:00"/>
        <d v="2011-10-14T00:00:00"/>
        <d v="2012-07-10T00:00:00"/>
        <d v="2013-07-27T00:00:00"/>
        <d v="2014-07-31T00:00:00"/>
        <d v="2011-01-26T00:00:00"/>
        <d v="2011-04-05T00:00:00"/>
        <d v="2012-01-01T00:00:00"/>
        <d v="2019-09-20T00:00:00"/>
        <d v="2016-08-20T00:00:00"/>
        <d v="2013-11-21T00:00:00"/>
        <d v="2012-11-26T00:00:00"/>
        <d v="2011-08-19T00:00:00"/>
        <d v="2014-10-12T00:00:00"/>
        <d v="2013-04-25T00:00:00"/>
        <d v="2010-12-04T00:00:00"/>
        <d v="2020-08-04T00:00:00"/>
        <d v="2017-09-04T00:00:00"/>
        <d v="2022-08-22T00:00:00"/>
        <d v="2014-09-23T00:00:00"/>
        <d v="2013-05-03T00:00:00"/>
        <d v="2016-11-13T00:00:00"/>
        <d v="2013-12-15T00:00:00"/>
        <d v="2012-03-28T00:00:00"/>
        <d v="2012-03-15T00:00:00"/>
        <d v="2015-02-26T00:00:00"/>
        <d v="2014-01-02T00:00:00"/>
        <d v="2015-06-11T00:00:00"/>
        <d v="2012-11-10T00:00:00"/>
        <d v="2013-12-20T00:00:00"/>
        <d v="2022-08-18T00:00:00"/>
        <d v="2012-05-24T00:00:00"/>
        <d v="2015-01-11T00:00:00"/>
        <d v="2014-03-30T00:00:00"/>
        <d v="2014-09-14T00:00:00"/>
        <d v="2020-07-11T00:00:00"/>
        <d v="2022-09-27T00:00:00"/>
        <d v="2014-09-17T00:00:00"/>
        <d v="2021-09-01T00:00:00"/>
        <d v="2013-06-13T00:00:00"/>
        <d v="2012-04-23T00:00:00"/>
        <d v="2014-07-05T00:00:00"/>
        <d v="2011-12-10T00:00:00"/>
        <d v="2018-04-06T00:00:00"/>
        <d v="2012-02-21T00:00:00"/>
        <d v="2012-10-12T00:00:00"/>
        <d v="2013-03-11T00:00:00"/>
        <d v="2014-08-17T00:00:00"/>
        <d v="2011-12-24T00:00:00"/>
        <d v="2014-09-25T00:00:00"/>
        <d v="2019-05-04T00:00:00"/>
        <d v="2012-05-09T00:00:00"/>
        <d v="2012-11-08T00:00:00"/>
        <d v="2011-03-26T00:00:00"/>
        <d v="2013-08-03T00:00:00"/>
        <d v="2013-09-19T00:00:00"/>
        <d v="2010-10-17T00:00:00"/>
        <d v="2015-01-12T00:00:00"/>
        <d v="2011-11-07T00:00:00"/>
        <d v="2012-01-12T00:00:00"/>
        <d v="2013-11-08T00:00:00"/>
        <d v="2015-05-31T00:00:00"/>
        <d v="2013-02-16T00:00:00"/>
        <d v="2011-09-09T00:00:00"/>
        <d v="2012-04-12T00:00:00"/>
        <d v="2010-09-04T00:00:00"/>
        <d v="2012-09-04T00:00:00"/>
        <d v="2014-07-04T00:00:00"/>
        <d v="2011-08-20T00:00:00"/>
        <d v="2014-10-29T00:00:00"/>
        <d v="2015-08-31T00:00:00"/>
        <d v="2014-02-18T00:00:00"/>
        <d v="2018-08-07T00:00:00"/>
        <d v="2011-02-09T00:00:00"/>
        <d v="2015-01-03T00:00:00"/>
        <d v="2014-12-13T00:00:00"/>
        <d v="2011-05-20T00:00:00"/>
        <d v="2012-08-26T00:00:00"/>
        <d v="2012-07-18T00:00:00"/>
        <d v="2011-01-10T00:00:00"/>
        <d v="2016-07-01T00:00:00"/>
        <d v="2012-11-19T00:00:00"/>
        <d v="2014-05-17T00:00:00"/>
        <d v="2012-09-30T00:00:00"/>
        <d v="2014-10-25T00:00:00"/>
        <d v="2015-07-23T00:00:00"/>
        <d v="2012-01-07T00:00:00"/>
        <d v="2013-04-10T00:00:00"/>
        <d v="2014-10-27T00:00:00"/>
        <d v="2014-04-01T00:00:00"/>
        <d v="2013-11-29T00:00:00"/>
        <d v="2011-05-02T00:00:00"/>
        <d v="2015-03-25T00:00:00"/>
        <d v="2012-11-05T00:00:00"/>
        <d v="2012-09-23T00:00:00"/>
        <d v="2013-12-13T00:00:00"/>
        <d v="2014-05-09T00:00:00"/>
        <d v="2013-12-12T00:00:00"/>
        <d v="2013-09-20T00:00:00"/>
        <d v="2018-10-04T00:00:00"/>
        <d v="2011-10-17T00:00:00"/>
        <d v="2014-06-07T00:00:00"/>
        <d v="2011-01-06T00:00:00"/>
        <d v="2012-06-24T00:00:00"/>
        <d v="2013-03-05T00:00:00"/>
        <d v="2018-07-28T00:00:00"/>
        <d v="2019-11-06T00:00:00"/>
        <d v="2014-05-11T00:00:00"/>
        <d v="2018-04-29T00:00:00"/>
        <d v="2012-07-23T00:00:00"/>
        <d v="2012-09-17T00:00:00"/>
        <d v="2015-01-25T00:00:00"/>
        <d v="2013-07-23T00:00:00"/>
        <d v="2012-01-29T00:00:00"/>
        <d v="2014-08-03T00:00:00"/>
        <d v="2010-09-15T00:00:00"/>
        <d v="2014-01-08T00:00:00"/>
        <d v="2013-09-02T00:00:00"/>
        <d v="2014-06-11T00:00:00"/>
        <d v="2014-07-15T00:00:00"/>
        <d v="2011-04-23T00:00:00"/>
        <d v="2010-10-05T00:00:00"/>
        <d v="2012-11-22T00:00:00"/>
        <d v="2011-07-05T00:00:00"/>
        <d v="2013-03-12T00:00:00"/>
        <d v="2011-11-24T00:00:00"/>
        <d v="2015-05-19T00:00:00"/>
        <d v="2016-07-13T00:00:00"/>
        <d v="2010-11-20T00:00:00"/>
        <d v="2015-07-02T00:00:00"/>
        <d v="2014-09-21T00:00:00"/>
        <d v="2014-07-10T00:00:00"/>
        <d v="2014-07-12T00:00:00"/>
        <d v="2013-08-15T00:00:00"/>
        <d v="2011-06-09T00:00:00"/>
        <d v="2013-11-24T00:00:00"/>
        <d v="2014-05-05T00:00:00"/>
        <d v="2011-02-19T00:00:00"/>
        <d v="2010-09-23T00:00:00"/>
        <d v="2012-12-23T00:00:00"/>
        <d v="2011-12-18T00:00:00"/>
        <d v="2012-06-04T00:00:00"/>
        <d v="2015-08-03T00:00:00"/>
        <d v="2012-01-24T00:00:00"/>
        <d v="2019-06-09T00:00:00"/>
        <d v="2013-10-27T00:00:00"/>
        <d v="2013-12-02T00:00:00"/>
        <d v="2014-07-01T00:00:00"/>
        <d v="2013-05-14T00:00:00"/>
        <d v="2019-01-02T00:00:00"/>
        <d v="2014-11-06T00:00:00"/>
        <d v="2010-10-27T00:00:00"/>
        <d v="2013-03-10T00:00:00"/>
        <d v="2014-08-02T00:00:00"/>
        <d v="2011-01-07T00:00:00"/>
        <d v="2014-01-03T00:00:00"/>
        <d v="2011-07-22T00:00:00"/>
        <d v="2014-08-26T00:00:00"/>
        <d v="2012-11-29T00:00:00"/>
        <d v="2012-12-30T00:00:00"/>
        <d v="2013-08-30T00:00:00"/>
        <d v="2017-08-10T00:00:00"/>
        <d v="2013-08-28T00:00:00"/>
        <d v="2015-06-10T00:00:00"/>
        <d v="2012-08-18T00:00:00"/>
        <d v="2013-03-07T00:00:00"/>
        <d v="2014-01-20T00:00:00"/>
        <d v="2011-07-14T00:00:00"/>
        <d v="2014-04-10T00:00:00"/>
        <d v="2011-07-03T00:00:00"/>
        <d v="2011-05-19T00:00:00"/>
        <d v="2012-01-21T00:00:00"/>
        <d v="2024-07-16T00:00:00"/>
        <d v="2015-03-31T00:00:00"/>
        <d v="2011-05-01T00:00:00"/>
        <d v="2014-08-05T00:00:00"/>
        <d v="2012-01-13T00:00:00"/>
        <d v="2013-10-23T00:00:00"/>
        <d v="2011-12-21T00:00:00"/>
        <d v="2011-02-05T00:00:00"/>
        <d v="2015-08-06T00:00:00"/>
        <d v="2014-06-23T00:00:00"/>
        <d v="2013-04-03T00:00:00"/>
        <d v="2012-07-08T00:00:00"/>
        <d v="2019-07-19T00:00:00"/>
        <d v="2010-10-26T00:00:00"/>
        <d v="2013-07-25T00:00:00"/>
        <d v="2014-06-16T00:00:00"/>
        <d v="2015-01-14T00:00:00"/>
        <d v="2013-08-27T00:00:00"/>
        <d v="2014-09-24T00:00:00"/>
        <d v="2012-05-16T00:00:00"/>
        <d v="2015-04-17T00:00:00"/>
        <d v="2014-07-25T00:00:00"/>
        <d v="2019-11-13T00:00:00"/>
        <d v="2012-06-21T00:00:00"/>
        <d v="2015-06-29T00:00:00"/>
        <d v="2017-04-04T00:00:00"/>
        <d v="2014-05-14T00:00:00"/>
        <d v="2011-07-17T00:00:00"/>
        <d v="2014-12-10T00:00:00"/>
        <d v="2014-02-10T00:00:00"/>
        <d v="2010-12-06T00:00:00"/>
        <d v="2022-09-22T00:00:00"/>
        <d v="2012-12-02T00:00:00"/>
        <d v="2011-12-30T00:00:00"/>
        <d v="2012-10-04T00:00:00"/>
        <d v="2014-09-11T00:00:00"/>
        <d v="2010-08-24T00:00:00"/>
        <d v="2014-07-27T00:00:00"/>
        <d v="2014-11-05T00:00:00"/>
        <d v="2012-08-07T00:00:00"/>
        <d v="2015-07-11T00:00:00"/>
        <d v="2014-04-06T00:00:00"/>
        <d v="2013-09-22T00:00:00"/>
        <d v="2010-09-08T00:00:00"/>
        <d v="2012-06-22T00:00:00"/>
        <d v="2014-07-09T00:00:00"/>
        <d v="2010-09-12T00:00:00"/>
        <d v="2015-05-21T00:00:00"/>
        <d v="2012-07-05T00:00:00"/>
        <d v="2014-11-28T00:00:00"/>
        <d v="2014-10-14T00:00:00"/>
        <d v="2012-08-14T00:00:00"/>
        <d v="2012-01-05T00:00:00"/>
        <d v="2010-12-03T00:00:00"/>
        <d v="2013-02-02T00:00:00"/>
        <d v="2014-01-07T00:00:00"/>
        <d v="2014-01-24T00:00:00"/>
        <d v="2012-10-15T00:00:00"/>
        <d v="2011-01-19T00:00:00"/>
        <d v="2012-06-05T00:00:00"/>
        <d v="2015-04-29T00:00:00"/>
        <d v="2012-01-06T00:00:00"/>
        <d v="2012-11-03T00:00:00"/>
        <d v="2015-06-06T00:00:00"/>
        <d v="2013-10-21T00:00:00"/>
        <d v="2014-09-27T00:00:00"/>
        <d v="2014-03-26T00:00:00"/>
        <d v="2013-08-25T00:00:00"/>
        <d v="2011-03-30T00:00:00"/>
        <d v="2013-07-20T00:00:00"/>
        <d v="2012-04-10T00:00:00"/>
        <d v="2013-05-24T00:00:00"/>
        <d v="2010-10-24T00:00:00"/>
        <d v="2011-01-24T00:00:00"/>
        <d v="2023-10-11T00:00:00"/>
        <d v="2012-09-25T00:00:00"/>
        <d v="2011-05-04T00:00:00"/>
        <d v="2011-02-01T00:00:00"/>
        <d v="2014-01-10T00:00:00"/>
        <d v="2011-08-26T00:00:00"/>
        <d v="2012-04-25T00:00:00"/>
        <d v="2015-07-28T00:00:00"/>
        <d v="2011-10-09T00:00:00"/>
        <d v="2012-01-26T00:00:00"/>
        <d v="2014-04-18T00:00:00"/>
        <d v="2011-11-29T00:00:00"/>
        <d v="2014-06-10T00:00:00"/>
        <d v="2012-09-20T00:00:00"/>
        <d v="2015-01-05T00:00:00"/>
        <d v="2013-07-12T00:00:00"/>
        <d v="2012-02-18T00:00:00"/>
        <d v="2012-06-17T00:00:00"/>
        <d v="2014-11-09T00:00:00"/>
        <d v="2013-07-18T00:00:00"/>
        <d v="2011-07-08T00:00:00"/>
        <d v="2013-11-03T00:00:00"/>
        <d v="2012-10-25T00:00:00"/>
        <d v="2013-01-15T00:00:00"/>
        <d v="2011-11-22T00:00:00"/>
        <d v="2014-06-03T00:00:00"/>
        <d v="2014-12-02T00:00:00"/>
        <d v="2016-06-13T00:00:00"/>
        <d v="2019-10-28T00:00:00"/>
        <d v="2011-07-24T00:00:00"/>
        <d v="2011-03-31T00:00:00"/>
        <d v="2013-08-21T00:00:00"/>
        <d v="2011-06-21T00:00:00"/>
        <d v="2012-11-02T00:00:00"/>
        <d v="2013-01-26T00:00:00"/>
        <d v="2011-12-05T00:00:00"/>
        <d v="2015-03-23T00:00:00"/>
        <d v="2010-09-25T00:00:00"/>
        <d v="2014-03-28T00:00:00"/>
        <d v="2012-09-01T00:00:00"/>
        <d v="2015-10-16T00:00:00"/>
        <d v="2014-06-27T00:00:00"/>
        <d v="2011-08-07T00:00:00"/>
        <d v="2015-02-23T00:00:00"/>
        <d v="2012-03-14T00:00:00"/>
        <d v="2014-09-09T00:00:00"/>
        <d v="2012-07-29T00:00:00"/>
        <d v="2020-07-22T00:00:00"/>
        <d v="2011-09-20T00:00:00"/>
        <d v="2012-12-29T00:00:00"/>
        <d v="2015-03-11T00:00:00"/>
        <d v="2010-12-24T00:00:00"/>
        <d v="2010-12-17T00:00:00"/>
        <d v="2011-07-25T00:00:00"/>
        <d v="2013-06-03T00:00:00"/>
        <d v="2011-01-25T00:00:00"/>
        <d v="2011-06-30T00:00:00"/>
        <d v="2010-09-28T00:00:00"/>
        <d v="2013-09-29T00:00:00"/>
        <d v="2011-09-03T00:00:00"/>
        <d v="2011-02-26T00:00:00"/>
        <d v="2010-10-02T00:00:00"/>
        <d v="2012-07-12T00:00:00"/>
        <d v="2012-08-22T00:00:00"/>
        <d v="2011-05-12T00:00:00"/>
        <d v="2014-03-09T00:00:00"/>
        <d v="2012-03-24T00:00:00"/>
        <d v="2013-01-27T00:00:00"/>
        <d v="2010-11-26T00:00:00"/>
        <d v="2012-01-11T00:00:00"/>
        <d v="2011-07-12T00:00:00"/>
        <d v="2013-02-12T00:00:00"/>
        <d v="2018-05-10T00:00:00"/>
        <d v="2012-04-27T00:00:00"/>
        <d v="2012-09-21T00:00:00"/>
        <d v="2012-02-16T00:00:00"/>
        <d v="2011-08-31T00:00:00"/>
        <d v="2012-11-30T00:00:00"/>
        <d v="2012-10-31T00:00:00"/>
        <d v="2013-01-19T00:00:00"/>
        <d v="2013-12-18T00:00:00"/>
        <d v="2012-02-15T00:00:00"/>
        <d v="2012-06-14T00:00:00"/>
        <d v="2012-10-28T00:00:00"/>
        <d v="2015-12-15T00:00:00"/>
        <d v="2013-03-29T00:00:00"/>
        <d v="2010-08-14T00:00:00"/>
        <d v="2013-03-27T00:00:00"/>
        <d v="2013-08-06T00:00:00"/>
        <d v="2012-07-07T00:00:00"/>
        <d v="2012-06-08T00:00:00"/>
        <d v="2012-11-20T00:00:00"/>
        <d v="2013-08-17T00:00:00"/>
        <d v="2012-11-01T00:00:00"/>
        <d v="2011-01-01T00:00:00"/>
        <d v="2015-01-18T00:00:00"/>
        <d v="2014-08-09T00:00:00"/>
        <d v="2013-10-10T00:00:00"/>
        <d v="2014-04-02T00:00:00"/>
        <d v="2013-11-26T00:00:00"/>
        <d v="2010-11-07T00:00:00"/>
        <d v="2015-04-22T00:00:00"/>
        <d v="2013-12-04T00:00:00"/>
        <d v="2013-02-13T00:00:00"/>
        <d v="2011-09-11T00:00:00"/>
        <d v="2012-01-25T00:00:00"/>
        <d v="2014-05-22T00:00:00"/>
        <d v="2014-08-01T00:00:00"/>
        <d v="2014-04-21T00:00:00"/>
        <d v="2012-02-04T00:00:00"/>
        <d v="2011-05-15T00:00:00"/>
        <d v="2013-01-30T00:00:00"/>
        <d v="2012-12-20T00:00:00"/>
        <d v="2014-02-08T00:00:00"/>
        <d v="2013-06-06T00:00:00"/>
        <d v="2013-09-14T00:00:00"/>
        <d v="2011-07-07T00:00:00"/>
        <d v="2014-12-28T00:00:00"/>
        <d v="2010-12-15T00:00:00"/>
        <d v="2013-09-10T00:00:00"/>
        <d v="2013-04-24T00:00:00"/>
        <d v="2011-11-15T00:00:00"/>
        <d v="2010-12-05T00:00:00"/>
        <d v="2013-08-09T00:00:00"/>
        <d v="2011-11-02T00:00:00"/>
        <d v="2011-10-29T00:00:00"/>
        <d v="2013-01-02T00:00:00"/>
        <d v="2013-06-01T00:00:00"/>
        <d v="2014-02-01T00:00:00"/>
        <d v="2014-03-21T00:00:00"/>
        <d v="2012-01-28T00:00:00"/>
        <d v="2013-04-08T00:00:00"/>
        <d v="2013-09-13T00:00:00"/>
        <d v="2010-11-05T00:00:00"/>
        <d v="2012-11-07T00:00:00"/>
        <d v="2012-06-23T00:00:00"/>
        <d v="2013-08-04T00:00:00"/>
        <d v="2010-12-16T00:00:00"/>
        <d v="2013-03-04T00:00:00"/>
        <d v="2010-12-13T00:00:00"/>
        <d v="2015-04-13T00:00:00"/>
        <d v="2014-04-04T00:00:00"/>
        <d v="2014-11-01T00:00:00"/>
        <d v="2013-08-02T00:00:00"/>
        <d v="2013-12-28T00:00:00"/>
        <d v="2014-03-22T00:00:00"/>
        <d v="2011-05-28T00:00:00"/>
        <d v="2012-01-16T00:00:00"/>
        <d v="2013-06-18T00:00:00"/>
        <d v="2013-08-26T00:00:00"/>
        <d v="2013-03-03T00:00:00"/>
        <d v="2013-11-15T00:00:00"/>
        <d v="2014-11-27T00:00:00"/>
        <d v="2012-01-23T00:00:00"/>
        <d v="2011-05-25T00:00:00"/>
        <d v="2012-01-17T00:00:00"/>
        <d v="2015-03-14T00:00:00"/>
        <d v="2013-07-15T00:00:00"/>
        <d v="2015-06-12T00:00:00"/>
        <d v="2013-03-15T00:00:00"/>
        <d v="2011-08-05T00:00:00"/>
        <d v="2011-12-17T00:00:00"/>
        <d v="2013-09-08T00:00:00"/>
        <d v="2012-01-09T00:00:00"/>
        <d v="2015-02-18T00:00:00"/>
        <d v="2011-03-15T00:00:00"/>
        <d v="2011-11-30T00:00:00"/>
        <d v="2012-01-30T00:00:00"/>
        <d v="2012-07-17T00:00:00"/>
        <d v="2011-11-21T00:00:00"/>
        <d v="2013-04-23T00:00:00"/>
        <d v="2012-11-14T00:00:00"/>
        <d v="2012-12-04T00:00:00"/>
        <d v="2011-02-25T00:00:00"/>
        <d v="2013-06-26T00:00:00"/>
        <d v="2014-09-15T00:00:00"/>
        <d v="2011-06-24T00:00:00"/>
        <d v="2012-08-03T00:00:00"/>
        <d v="2010-12-30T00:00:00"/>
        <d v="2012-07-30T00:00:00"/>
        <d v="2011-10-11T00:00:00"/>
        <d v="2012-05-01T00:00:00"/>
        <d v="2010-11-06T00:00:00"/>
        <d v="2013-10-13T00:00:00"/>
        <d v="2012-08-01T00:00:00"/>
        <d v="2012-05-31T00:00:00"/>
        <d v="2014-12-01T00:00:00"/>
        <d v="2012-06-15T00:00:00"/>
        <d v="2014-12-29T00:00:00"/>
        <d v="2014-08-15T00:00:00"/>
        <d v="2014-03-14T00:00:00"/>
        <d v="2012-05-28T00:00:00"/>
        <d v="2015-03-02T00:00:00"/>
        <d v="2010-12-25T00:00:00"/>
        <d v="2011-07-20T00:00:00"/>
        <d v="2012-12-21T00:00:00"/>
        <d v="2012-05-15T00:00:00"/>
        <d v="2013-06-25T00:00:00"/>
        <d v="2013-12-25T00:00:00"/>
        <d v="2012-02-05T00:00:00"/>
        <d v="2013-09-11T00:00:00"/>
        <d v="2014-03-15T00:00:00"/>
        <d v="2011-06-10T00:00:00"/>
        <d v="2015-06-03T00:00:00"/>
        <d v="2015-07-09T00:00:00"/>
        <d v="2013-01-10T00:00:00"/>
        <d v="2015-08-13T00:00:00"/>
        <d v="2013-04-13T00:00:00"/>
        <d v="2013-10-31T00:00:00"/>
        <d v="2014-03-10T00:00:00"/>
        <d v="2014-11-26T00:00:00"/>
        <d v="2013-05-23T00:00:00"/>
        <d v="2011-05-27T00:00:00"/>
        <d v="2011-12-08T00:00:00"/>
        <d v="2011-04-21T00:00:00"/>
        <d v="2010-12-02T00:00:00"/>
        <d v="2011-03-20T00:00:00"/>
        <d v="2011-07-26T00:00:00"/>
        <d v="2012-08-04T00:00:00"/>
        <d v="2013-08-05T00:00:00"/>
        <d v="2010-10-30T00:00:00"/>
        <d v="2010-09-27T00:00:00"/>
        <d v="2014-12-31T00:00:00"/>
        <d v="2012-12-18T00:00:00"/>
        <d v="2011-01-16T00:00:00"/>
        <d v="2010-09-13T00:00:00"/>
        <d v="2013-07-01T00:00:00"/>
        <d v="2010-10-13T00:00:00"/>
        <d v="2014-12-22T00:00:00"/>
        <d v="2015-02-13T00:00:00"/>
        <d v="2012-08-09T00:00:00"/>
        <d v="2010-10-18T00:00:00"/>
        <d v="2014-02-04T00:00:00"/>
        <d v="2010-11-18T00:00:00"/>
        <d v="2013-09-28T00:00:00"/>
        <d v="2011-04-01T00:00:00"/>
        <d v="2015-03-21T00:00:00"/>
        <d v="2013-03-14T00:00:00"/>
        <d v="2014-09-06T00:00:00"/>
        <d v="2015-07-17T00:00:00"/>
        <d v="2012-08-20T00:00:00"/>
        <d v="2014-02-23T00:00:00"/>
        <d v="2013-05-22T00:00:00"/>
        <d v="2014-04-13T00:00:00"/>
        <d v="2011-10-07T00:00:00"/>
        <d v="2013-03-28T00:00:00"/>
        <d v="2010-10-10T00:00:00"/>
        <d v="2014-03-07T00:00:00"/>
        <d v="2011-11-20T00:00:00"/>
        <d v="2015-02-16T00:00:00"/>
        <d v="2012-11-06T00:00:00"/>
        <d v="2013-03-01T00:00:00"/>
        <d v="2014-01-29T00:00:00"/>
        <d v="2015-07-21T00:00:00"/>
        <d v="2013-03-21T00:00:00"/>
        <d v="2013-09-05T00:00:00"/>
        <d v="2012-04-14T00:00:00"/>
        <d v="2012-09-02T00:00:00"/>
        <d v="2015-04-06T00:00:00"/>
        <d v="2010-11-29T00:00:00"/>
        <d v="2011-11-14T00:00:00"/>
        <d v="2012-05-19T00:00:00"/>
        <d v="2010-11-19T00:00:00"/>
        <d v="2011-10-19T00:00:00"/>
        <d v="2013-05-25T00:00:00"/>
        <d v="2013-04-07T00:00:00"/>
        <d v="2012-09-03T00:00:00"/>
        <d v="2014-05-06T00:00:00"/>
        <d v="2014-05-02T00:00:00"/>
        <d v="2014-02-24T00:00:00"/>
        <d v="2015-07-20T00:00:00"/>
        <d v="2015-07-05T00:00:00"/>
        <d v="2011-09-15T00:00:00"/>
        <d v="2013-04-02T00:00:00"/>
        <d v="2011-05-30T00:00:00"/>
        <d v="2014-11-10T00:00:00"/>
        <d v="2014-06-09T00:00:00"/>
        <d v="2013-07-29T00:00:00"/>
        <d v="2015-07-19T00:00:00"/>
        <d v="2012-02-06T00:00:00"/>
        <d v="2013-03-26T00:00:00"/>
        <d v="2011-04-06T00:00:00"/>
        <d v="2012-05-26T00:00:00"/>
        <d v="2010-08-19T00:00:00"/>
        <d v="2015-06-05T00:00:00"/>
        <d v="2014-10-24T00:00:00"/>
        <d v="2013-02-15T00:00:00"/>
        <d v="2015-06-26T00:00:00"/>
        <d v="2015-07-22T00:00:00"/>
        <d v="2010-11-16T00:00:00"/>
        <d v="2015-06-04T00:00:00"/>
        <d v="2012-12-28T00:00:00"/>
        <d v="2012-01-22T00:00:00"/>
        <d v="2010-12-28T00:00:00"/>
        <d v="2013-12-19T00:00:00"/>
        <d v="2013-08-01T00:00:00"/>
        <d v="2011-03-10T00:00:00"/>
        <d v="2013-09-23T00:00:00"/>
        <d v="2012-07-28T00:00:00"/>
        <d v="2013-05-18T00:00:00"/>
        <d v="2014-08-24T00:00:00"/>
        <d v="2011-07-13T00:00:00"/>
        <d v="2014-02-28T00:00:00"/>
        <d v="2015-08-02T00:00:00"/>
        <d v="2011-06-06T00:00:00"/>
        <d v="2013-06-04T00:00:00"/>
        <d v="2014-09-12T00:00:00"/>
        <d v="2010-08-15T00:00:00"/>
        <d v="2011-09-10T00:00:00"/>
        <d v="2014-01-28T00:00:00"/>
        <d v="2013-09-04T00:00:00"/>
        <d v="2012-07-25T00:00:00"/>
        <d v="2012-03-01T00:00:00"/>
        <d v="2011-05-29T00:00:00"/>
        <d v="2013-07-26T00:00:00"/>
        <d v="2015-01-13T00:00:00"/>
        <d v="2014-04-16T00:00:00"/>
        <d v="2011-04-07T00:00:00"/>
        <d v="2014-08-19T00:00:00"/>
        <d v="2014-08-23T00:00:00"/>
        <d v="2012-02-11T00:00:00"/>
        <d v="2011-04-09T00:00:00"/>
        <d v="2013-11-22T00:00:00"/>
        <d v="2014-08-04T00:00:00"/>
        <d v="2013-11-23T00:00:00"/>
        <d v="2011-04-28T00:00:00"/>
        <d v="2012-02-09T00:00:00"/>
        <d v="2011-01-08T00:00:00"/>
        <d v="2013-05-02T00:00:00"/>
        <d v="2014-07-02T00:00:00"/>
        <d v="2015-07-24T00:00:00"/>
        <d v="2015-06-02T00:00:00"/>
        <d v="2011-05-13T00:00:00"/>
        <d v="2010-12-14T00:00:00"/>
        <d v="2012-08-27T00:00:00"/>
        <d v="2013-07-07T00:00:00"/>
        <d v="2012-04-11T00:00:00"/>
        <d v="2011-01-03T00:00:00"/>
        <d v="2012-10-13T00:00:00"/>
        <d v="2013-10-09T00:00:00"/>
        <d v="2012-10-07T00:00:00"/>
        <d v="2012-03-02T00:00:00"/>
        <d v="2013-12-23T00:00:00"/>
        <d v="2010-10-15T00:00:00"/>
        <d v="2011-11-23T00:00:00"/>
        <d v="2014-10-01T00:00:00"/>
        <d v="2013-07-17T00:00:00"/>
        <d v="2012-01-02T00:00:00"/>
        <d v="2014-06-05T00:00:00"/>
        <d v="2013-11-09T00:00:00"/>
        <d v="2014-02-16T00:00:00"/>
        <d v="2013-12-08T00:00:00"/>
        <d v="2012-06-11T00:00:00"/>
        <d v="2011-12-15T00:00:00"/>
        <d v="2015-04-25T00:00:00"/>
        <d v="2011-11-09T00:00:00"/>
        <d v="2012-11-16T00:00:00"/>
        <d v="2013-05-28T00:00:00"/>
        <d v="2012-03-26T00:00:00"/>
        <d v="2012-09-24T00:00:00"/>
        <d v="2010-10-29T00:00:00"/>
        <d v="2015-08-07T00:00:00"/>
        <d v="2015-06-09T00:00:00"/>
        <d v="2012-08-06T00:00:00"/>
        <d v="2015-06-17T00:00:00"/>
        <d v="2013-11-10T00:00:00"/>
        <d v="2012-08-11T00:00:00"/>
        <d v="2011-02-13T00:00:00"/>
        <d v="2012-09-07T00:00:00"/>
        <d v="2012-04-17T00:00:00"/>
        <d v="2013-07-24T00:00:00"/>
        <d v="2013-10-02T00:00:00"/>
        <d v="2014-10-10T00:00:00"/>
        <d v="2014-09-26T00:00:00"/>
        <d v="2010-11-11T00:00:00"/>
        <d v="2013-06-29T00:00:00"/>
        <d v="2014-08-12T00:00:00"/>
        <d v="2014-12-26T00:00:00"/>
        <d v="2013-11-19T00:00:00"/>
        <d v="2014-06-13T00:00:00"/>
        <d v="2012-05-20T00:00:00"/>
        <d v="2013-05-01T00:00:00"/>
        <d v="2011-09-17T00:00:00"/>
        <d v="2012-09-13T00:00:00"/>
        <d v="2012-02-25T00:00:00"/>
        <d v="2015-04-04T00:00:00"/>
        <d v="2013-05-15T00:00:00"/>
        <d v="2011-10-15T00:00:00"/>
        <d v="2013-05-26T00:00:00"/>
        <d v="2014-03-18T00:00:00"/>
        <d v="2012-09-22T00:00:00"/>
        <d v="2014-01-19T00:00:00"/>
        <d v="2014-04-14T00:00:00"/>
        <d v="2010-12-21T00:00:00"/>
        <d v="2011-10-30T00:00:00"/>
        <d v="2015-05-01T00:00:00"/>
        <d v="2010-11-14T00:00:00"/>
        <d v="2011-06-17T00:00:00"/>
        <d v="2010-10-28T00:00:00"/>
        <d v="2013-04-18T00:00:00"/>
        <d v="2011-09-26T00:00:00"/>
        <d v="2013-03-31T00:00:00"/>
        <d v="2012-10-22T00:00:00"/>
        <d v="2013-02-05T00:00:00"/>
        <d v="2011-03-17T00:00:00"/>
        <d v="2013-12-22T00:00:00"/>
        <d v="2015-05-16T00:00:00"/>
        <d v="2011-07-28T00:00:00"/>
        <d v="2012-09-10T00:00:00"/>
        <d v="2011-02-20T00:00:00"/>
      </sharedItems>
      <fieldGroup par="17"/>
    </cacheField>
    <cacheField name="Location" numFmtId="0">
      <sharedItems/>
    </cacheField>
    <cacheField name="Performance_Rating" numFmtId="0">
      <sharedItems containsSemiMixedTypes="0" containsString="0" containsNumber="1" containsInteger="1" minValue="1" maxValue="5" count="5">
        <n v="5"/>
        <n v="2"/>
        <n v="1"/>
        <n v="4"/>
        <n v="3"/>
      </sharedItems>
    </cacheField>
    <cacheField name="Experience_Years" numFmtId="0">
      <sharedItems containsSemiMixedTypes="0" containsString="0" containsNumber="1" containsInteger="1" minValue="0" maxValue="15" count="16">
        <n v="14"/>
        <n v="7"/>
        <n v="2"/>
        <n v="1"/>
        <n v="0"/>
        <n v="4"/>
        <n v="9"/>
        <n v="5"/>
        <n v="6"/>
        <n v="8"/>
        <n v="3"/>
        <n v="10"/>
        <n v="11"/>
        <n v="12"/>
        <n v="13"/>
        <n v="15"/>
      </sharedItems>
      <fieldGroup base="7">
        <rangePr startNum="0" endNum="15" groupInterval="3"/>
        <groupItems count="7">
          <s v="&lt;0"/>
          <s v="0-2"/>
          <s v="3-5"/>
          <s v="6-8"/>
          <s v="9-11"/>
          <s v="12-15"/>
          <s v="&gt;15"/>
        </groupItems>
      </fieldGroup>
    </cacheField>
    <cacheField name="Status" numFmtId="0">
      <sharedItems count="4">
        <s v="Resigned"/>
        <s v="Active"/>
        <s v="Terminated"/>
        <s v="Retired"/>
      </sharedItems>
    </cacheField>
    <cacheField name="Work_Mode" numFmtId="0">
      <sharedItems count="2">
        <s v="On-site"/>
        <s v="Remote"/>
      </sharedItems>
    </cacheField>
    <cacheField name="Salary_INR" numFmtId="0">
      <sharedItems containsSemiMixedTypes="0" containsString="0" containsNumber="1" containsInteger="1" minValue="300026" maxValue="2999889"/>
    </cacheField>
    <cacheField name="Month Name" numFmtId="0">
      <sharedItems count="12">
        <s v="August"/>
        <s v="March"/>
        <s v="October"/>
        <s v="December"/>
        <s v="February"/>
        <s v="April"/>
        <s v="May"/>
        <s v="July"/>
        <s v="January"/>
        <s v="September"/>
        <s v="November"/>
        <s v="June"/>
      </sharedItems>
    </cacheField>
    <cacheField name="Day Name" numFmtId="0">
      <sharedItems/>
    </cacheField>
    <cacheField name="Year" numFmtId="0">
      <sharedItems containsSemiMixedTypes="0" containsString="0" containsNumber="1" containsInteger="1" minValue="2010" maxValue="2025" count="16">
        <n v="2011"/>
        <n v="2018"/>
        <n v="2023"/>
        <n v="2024"/>
        <n v="2021"/>
        <n v="2016"/>
        <n v="2020"/>
        <n v="2015"/>
        <n v="2025"/>
        <n v="2022"/>
        <n v="2017"/>
        <n v="2019"/>
        <n v="2014"/>
        <n v="2013"/>
        <n v="2012"/>
        <n v="2010"/>
      </sharedItems>
    </cacheField>
    <cacheField name="Turnover rate" numFmtId="0">
      <sharedItems containsSemiMixedTypes="0" containsString="0" containsNumber="1" containsInteger="1" minValue="0" maxValue="1"/>
    </cacheField>
    <cacheField name="Months (Hire_Date)" numFmtId="0" databaseField="0">
      <fieldGroup base="4">
        <rangePr groupBy="months" startDate="2010-08-14T00:00:00" endDate="2025-08-14T00:00:00"/>
        <groupItems count="14">
          <s v="&lt;14-08-2010"/>
          <s v="Jan"/>
          <s v="Feb"/>
          <s v="Mar"/>
          <s v="Apr"/>
          <s v="May"/>
          <s v="Jun"/>
          <s v="Jul"/>
          <s v="Aug"/>
          <s v="Sep"/>
          <s v="Oct"/>
          <s v="Nov"/>
          <s v="Dec"/>
          <s v="&gt;14-08-2025"/>
        </groupItems>
      </fieldGroup>
    </cacheField>
    <cacheField name="Quarters (Hire_Date)" numFmtId="0" databaseField="0">
      <fieldGroup base="4">
        <rangePr groupBy="quarters" startDate="2010-08-14T00:00:00" endDate="2025-08-14T00:00:00"/>
        <groupItems count="6">
          <s v="&lt;14-08-2010"/>
          <s v="Qtr1"/>
          <s v="Qtr2"/>
          <s v="Qtr3"/>
          <s v="Qtr4"/>
          <s v="&gt;14-08-2025"/>
        </groupItems>
      </fieldGroup>
    </cacheField>
    <cacheField name="Years (Hire_Date)" numFmtId="0" databaseField="0">
      <fieldGroup base="4">
        <rangePr groupBy="years" startDate="2010-08-14T00:00:00" endDate="2025-08-14T00:00:00"/>
        <groupItems count="18">
          <s v="&lt;14-08-2010"/>
          <s v="2010"/>
          <s v="2011"/>
          <s v="2012"/>
          <s v="2013"/>
          <s v="2014"/>
          <s v="2015"/>
          <s v="2016"/>
          <s v="2017"/>
          <s v="2018"/>
          <s v="2019"/>
          <s v="2020"/>
          <s v="2021"/>
          <s v="2022"/>
          <s v="2023"/>
          <s v="2024"/>
          <s v="2025"/>
          <s v="&gt;14-08-2025"/>
        </groupItems>
      </fieldGroup>
    </cacheField>
  </cacheFields>
  <extLst>
    <ext xmlns:x14="http://schemas.microsoft.com/office/spreadsheetml/2009/9/main" uri="{725AE2AE-9491-48be-B2B4-4EB974FC3084}">
      <x14:pivotCacheDefinition pivotCacheId="168020418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hil K" refreshedDate="45920.068894675926" createdVersion="8" refreshedVersion="8" minRefreshableVersion="3" recordCount="16" xr:uid="{1193D3C9-BE55-4688-8BFD-AD95617E5517}">
  <cacheSource type="worksheet">
    <worksheetSource ref="D30:G46" sheet="Pivot Table"/>
  </cacheSource>
  <cacheFields count="4">
    <cacheField name="Row Labels" numFmtId="0">
      <sharedItems count="16">
        <s v="2010"/>
        <s v="2011"/>
        <s v="2012"/>
        <s v="2013"/>
        <s v="2014"/>
        <s v="2015"/>
        <s v="2016"/>
        <s v="2017"/>
        <s v="2018"/>
        <s v="2019"/>
        <s v="2020"/>
        <s v="2021"/>
        <s v="2022"/>
        <s v="2023"/>
        <s v="2024"/>
        <s v="2025"/>
      </sharedItems>
    </cacheField>
    <cacheField name="Hiring" numFmtId="0">
      <sharedItems containsSemiMixedTypes="0" containsString="0" containsNumber="1" containsInteger="1" minValue="8153" maxValue="105442"/>
    </cacheField>
    <cacheField name="Turnover" numFmtId="0">
      <sharedItems containsSemiMixedTypes="0" containsString="0" containsNumber="1" containsInteger="1" minValue="2036" maxValue="26206"/>
    </cacheField>
    <cacheField name="Net growth " numFmtId="0">
      <sharedItems containsSemiMixedTypes="0" containsString="0" containsNumber="1" containsInteger="1" minValue="6117" maxValue="7931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n v="8153"/>
    <n v="2036"/>
    <n v="6117"/>
  </r>
  <r>
    <x v="1"/>
    <n v="21006"/>
    <n v="5227"/>
    <n v="15779"/>
  </r>
  <r>
    <x v="2"/>
    <n v="20777"/>
    <n v="5248"/>
    <n v="15529"/>
  </r>
  <r>
    <x v="3"/>
    <n v="20908"/>
    <n v="5257"/>
    <n v="15651"/>
  </r>
  <r>
    <x v="4"/>
    <n v="21069"/>
    <n v="5284"/>
    <n v="15785"/>
  </r>
  <r>
    <x v="5"/>
    <n v="45245"/>
    <n v="11261"/>
    <n v="33984"/>
  </r>
  <r>
    <x v="6"/>
    <n v="83932"/>
    <n v="21000"/>
    <n v="62932"/>
  </r>
  <r>
    <x v="7"/>
    <n v="84390"/>
    <n v="21100"/>
    <n v="63290"/>
  </r>
  <r>
    <x v="8"/>
    <n v="83440"/>
    <n v="20772"/>
    <n v="62668"/>
  </r>
  <r>
    <x v="9"/>
    <n v="84008"/>
    <n v="21063"/>
    <n v="62945"/>
  </r>
  <r>
    <x v="10"/>
    <n v="91841"/>
    <n v="22787"/>
    <n v="69054"/>
  </r>
  <r>
    <x v="11"/>
    <n v="104577"/>
    <n v="26206"/>
    <n v="78371"/>
  </r>
  <r>
    <x v="12"/>
    <n v="105442"/>
    <n v="26126"/>
    <n v="79316"/>
  </r>
  <r>
    <x v="13"/>
    <n v="104128"/>
    <n v="26005"/>
    <n v="78123"/>
  </r>
  <r>
    <x v="14"/>
    <n v="105113"/>
    <n v="26204"/>
    <n v="78909"/>
  </r>
  <r>
    <x v="15"/>
    <n v="64546"/>
    <n v="16098"/>
    <n v="4844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BCD624-8C2B-495B-AEC5-9F13773977F2}"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5:F22" firstHeaderRow="0" firstDataRow="1" firstDataCol="1"/>
  <pivotFields count="18">
    <pivotField showAll="0"/>
    <pivotField showAll="0"/>
    <pivotField showAll="0"/>
    <pivotField showAll="0"/>
    <pivotField axis="axisRow"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pivotField showAll="0">
      <items count="8">
        <item x="0"/>
        <item n="Fresher" x="1"/>
        <item n="Junior" x="2"/>
        <item n="Mid-level" x="3"/>
        <item n="Senior" x="4"/>
        <item n="Leadership" x="5"/>
        <item x="6"/>
        <item t="default"/>
      </items>
    </pivotField>
    <pivotField showAll="0"/>
    <pivotField showAll="0"/>
    <pivotField showAll="0"/>
    <pivotField dataField="1"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19">
        <item sd="0" x="0"/>
        <item sd="0" x="1"/>
        <item sd="0" x="2"/>
        <item sd="0" x="3"/>
        <item sd="0" x="4"/>
        <item sd="0" x="5"/>
        <item sd="0" x="6"/>
        <item sd="0" x="7"/>
        <item sd="0" x="8"/>
        <item sd="0" x="9"/>
        <item sd="0" x="10"/>
        <item sd="0" x="11"/>
        <item sd="0" x="12"/>
        <item sd="0" x="13"/>
        <item sd="0" x="14"/>
        <item sd="0" x="15"/>
        <item sd="0" x="16"/>
        <item sd="0" x="17"/>
        <item t="default"/>
      </items>
    </pivotField>
  </pivotFields>
  <rowFields count="4">
    <field x="17"/>
    <field x="16"/>
    <field x="15"/>
    <field x="4"/>
  </rowFields>
  <rowItems count="17">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Hiring" fld="11" subtotal="count" baseField="17" baseItem="1"/>
    <dataField name="Turnover" fld="14" baseField="17" baseItem="1"/>
  </dataFields>
  <chartFormats count="4">
    <chartFormat chart="4" format="0" series="1">
      <pivotArea type="data" outline="0" fieldPosition="0">
        <references count="1">
          <reference field="4294967294" count="1" selected="0">
            <x v="1"/>
          </reference>
        </references>
      </pivotArea>
    </chartFormat>
    <chartFormat chart="4" format="1"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BE23BE-B526-411C-8E50-116C3516B380}"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9" firstHeaderRow="1" firstDataRow="1" firstDataCol="1"/>
  <pivotFields count="18">
    <pivotField showAll="0"/>
    <pivotField showAll="0"/>
    <pivotField showAll="0"/>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pivotField axis="axisRow" showAll="0">
      <items count="8">
        <item x="0"/>
        <item n="Fresher" x="1"/>
        <item n="Junior" x="2"/>
        <item n="Mid-level" x="3"/>
        <item n="Senior" x="4"/>
        <item n="Leadership" x="5"/>
        <item x="6"/>
        <item t="default"/>
      </items>
    </pivotField>
    <pivotField showAll="0"/>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Fields count="1">
    <field x="7"/>
  </rowFields>
  <rowItems count="6">
    <i>
      <x v="1"/>
    </i>
    <i>
      <x v="2"/>
    </i>
    <i>
      <x v="3"/>
    </i>
    <i>
      <x v="4"/>
    </i>
    <i>
      <x v="5"/>
    </i>
    <i t="grand">
      <x/>
    </i>
  </rowItems>
  <colItems count="1">
    <i/>
  </colItems>
  <dataFields count="1">
    <dataField name="Sum of Turnover rate" fld="14"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07A95-2576-4A3E-A85A-EE0DB63FF7CB}"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53:C70" firstHeaderRow="1" firstDataRow="1" firstDataCol="1"/>
  <pivotFields count="18">
    <pivotField dataField="1" showAll="0"/>
    <pivotField showAll="0"/>
    <pivotField showAll="0"/>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pivotField showAll="0">
      <items count="8">
        <item x="0"/>
        <item n="Fresher" x="1"/>
        <item n="Junior" x="2"/>
        <item n="Mid-level" x="3"/>
        <item n="Senior" x="4"/>
        <item n="Leadership" x="5"/>
        <item x="6"/>
        <item t="default"/>
      </items>
    </pivotField>
    <pivotField showAll="0"/>
    <pivotField showAll="0"/>
    <pivotField showAll="0"/>
    <pivotField showAll="0"/>
    <pivotField showAll="0"/>
    <pivotField axis="axisRow" showAll="0">
      <items count="17">
        <item x="15"/>
        <item x="0"/>
        <item x="14"/>
        <item x="13"/>
        <item x="12"/>
        <item x="7"/>
        <item x="5"/>
        <item x="10"/>
        <item x="1"/>
        <item x="11"/>
        <item x="6"/>
        <item x="4"/>
        <item x="9"/>
        <item x="2"/>
        <item x="3"/>
        <item x="8"/>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Fields count="1">
    <field x="13"/>
  </rowFields>
  <rowItems count="17">
    <i>
      <x/>
    </i>
    <i>
      <x v="1"/>
    </i>
    <i>
      <x v="2"/>
    </i>
    <i>
      <x v="3"/>
    </i>
    <i>
      <x v="4"/>
    </i>
    <i>
      <x v="5"/>
    </i>
    <i>
      <x v="6"/>
    </i>
    <i>
      <x v="7"/>
    </i>
    <i>
      <x v="8"/>
    </i>
    <i>
      <x v="9"/>
    </i>
    <i>
      <x v="10"/>
    </i>
    <i>
      <x v="11"/>
    </i>
    <i>
      <x v="12"/>
    </i>
    <i>
      <x v="13"/>
    </i>
    <i>
      <x v="14"/>
    </i>
    <i>
      <x v="15"/>
    </i>
    <i t="grand">
      <x/>
    </i>
  </rowItems>
  <colItems count="1">
    <i/>
  </colItems>
  <dataFields count="1">
    <dataField name="Count of Employee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6A5495-5592-4ABB-8C49-495E81991E78}"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52:I69" firstHeaderRow="0" firstDataRow="1" firstDataCol="1"/>
  <pivotFields count="4">
    <pivotField axis="axisRow" showAll="0">
      <items count="17">
        <item x="0"/>
        <item x="1"/>
        <item x="2"/>
        <item x="3"/>
        <item x="4"/>
        <item x="5"/>
        <item x="6"/>
        <item x="7"/>
        <item x="8"/>
        <item x="9"/>
        <item x="10"/>
        <item x="11"/>
        <item x="12"/>
        <item x="13"/>
        <item x="14"/>
        <item x="15"/>
        <item t="default"/>
      </items>
    </pivotField>
    <pivotField dataField="1" showAll="0"/>
    <pivotField dataField="1" showAll="0"/>
    <pivotField dataField="1" showAll="0"/>
  </pivotFields>
  <rowFields count="1">
    <field x="0"/>
  </rowFields>
  <rowItems count="17">
    <i>
      <x/>
    </i>
    <i>
      <x v="1"/>
    </i>
    <i>
      <x v="2"/>
    </i>
    <i>
      <x v="3"/>
    </i>
    <i>
      <x v="4"/>
    </i>
    <i>
      <x v="5"/>
    </i>
    <i>
      <x v="6"/>
    </i>
    <i>
      <x v="7"/>
    </i>
    <i>
      <x v="8"/>
    </i>
    <i>
      <x v="9"/>
    </i>
    <i>
      <x v="10"/>
    </i>
    <i>
      <x v="11"/>
    </i>
    <i>
      <x v="12"/>
    </i>
    <i>
      <x v="13"/>
    </i>
    <i>
      <x v="14"/>
    </i>
    <i>
      <x v="15"/>
    </i>
    <i t="grand">
      <x/>
    </i>
  </rowItems>
  <colFields count="1">
    <field x="-2"/>
  </colFields>
  <colItems count="3">
    <i>
      <x/>
    </i>
    <i i="1">
      <x v="1"/>
    </i>
    <i i="2">
      <x v="2"/>
    </i>
  </colItems>
  <dataFields count="3">
    <dataField name="Sum of Hiring" fld="1" baseField="0" baseItem="0"/>
    <dataField name="Sum of Turnover" fld="2" baseField="0" baseItem="0"/>
    <dataField name="Sum of Net growth "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5F24641-B0B7-4893-BBD4-9FD346C2D5BA}"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F34:G37" firstHeaderRow="1" firstDataRow="1" firstDataCol="1"/>
  <pivotFields count="18">
    <pivotField dataField="1" showAll="0"/>
    <pivotField showAll="0"/>
    <pivotField showAll="0"/>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items count="6">
        <item x="2"/>
        <item x="1"/>
        <item x="4"/>
        <item x="3"/>
        <item x="0"/>
        <item t="default"/>
      </items>
    </pivotField>
    <pivotField showAll="0">
      <items count="8">
        <item x="0"/>
        <item x="1"/>
        <item x="2"/>
        <item x="3"/>
        <item x="4"/>
        <item x="5"/>
        <item x="6"/>
        <item t="default"/>
      </items>
    </pivotField>
    <pivotField showAll="0">
      <items count="5">
        <item x="1"/>
        <item x="0"/>
        <item x="3"/>
        <item x="2"/>
        <item t="default"/>
      </items>
    </pivotField>
    <pivotField axis="axisRow" showAll="0">
      <items count="3">
        <item x="0"/>
        <item x="1"/>
        <item t="default"/>
      </items>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Fields count="1">
    <field x="9"/>
  </rowFields>
  <rowItems count="3">
    <i>
      <x/>
    </i>
    <i>
      <x v="1"/>
    </i>
    <i t="grand">
      <x/>
    </i>
  </rowItems>
  <colItems count="1">
    <i/>
  </colItems>
  <dataFields count="1">
    <dataField name="Count of Employee_ID" fld="0" subtotal="count" baseField="0" baseItem="0"/>
  </dataField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9" count="1" selected="0">
            <x v="0"/>
          </reference>
        </references>
      </pivotArea>
    </chartFormat>
    <chartFormat chart="3" format="6">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6EDE803-21DA-4782-BF90-C1D573A17D8D}"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B2" firstHeaderRow="1" firstDataRow="1" firstDataCol="0"/>
  <pivotFields count="18">
    <pivotField dataField="1" showAll="0"/>
    <pivotField showAll="0"/>
    <pivotField showAll="0"/>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items count="6">
        <item x="2"/>
        <item x="1"/>
        <item x="4"/>
        <item x="3"/>
        <item x="0"/>
        <item t="default"/>
      </items>
    </pivotField>
    <pivotField showAll="0">
      <items count="8">
        <item x="0"/>
        <item x="1"/>
        <item x="2"/>
        <item x="3"/>
        <item x="4"/>
        <item x="5"/>
        <item x="6"/>
        <item t="default"/>
      </items>
    </pivotField>
    <pivotField showAll="0">
      <items count="5">
        <item x="1"/>
        <item x="0"/>
        <item x="3"/>
        <item x="2"/>
        <item t="default"/>
      </items>
    </pivotField>
    <pivotField showAll="0">
      <items count="3">
        <item x="0"/>
        <item x="1"/>
        <item t="default"/>
      </items>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Items count="1">
    <i/>
  </rowItems>
  <colItems count="1">
    <i/>
  </colItems>
  <dataFields count="1">
    <dataField name="Count of Employee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F93D8AD-1A8C-41C0-8616-F469E7AC8CC2}"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G4:H9" firstHeaderRow="1" firstDataRow="1" firstDataCol="1"/>
  <pivotFields count="18">
    <pivotField dataField="1" showAll="0"/>
    <pivotField showAll="0"/>
    <pivotField showAll="0"/>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items count="6">
        <item x="2"/>
        <item x="1"/>
        <item x="4"/>
        <item x="3"/>
        <item x="0"/>
        <item t="default"/>
      </items>
    </pivotField>
    <pivotField showAll="0">
      <items count="8">
        <item x="0"/>
        <item x="1"/>
        <item x="2"/>
        <item x="3"/>
        <item x="4"/>
        <item x="5"/>
        <item x="6"/>
        <item t="default"/>
      </items>
    </pivotField>
    <pivotField axis="axisRow" showAll="0">
      <items count="5">
        <item x="1"/>
        <item x="0"/>
        <item x="3"/>
        <item x="2"/>
        <item t="default"/>
      </items>
    </pivotField>
    <pivotField showAll="0">
      <items count="3">
        <item x="0"/>
        <item x="1"/>
        <item t="default"/>
      </items>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Fields count="1">
    <field x="8"/>
  </rowFields>
  <rowItems count="5">
    <i>
      <x/>
    </i>
    <i>
      <x v="1"/>
    </i>
    <i>
      <x v="2"/>
    </i>
    <i>
      <x v="3"/>
    </i>
    <i t="grand">
      <x/>
    </i>
  </rowItems>
  <colItems count="1">
    <i/>
  </colItems>
  <dataFields count="1">
    <dataField name="Count of Employee_ID" fld="0" subtotal="count" baseField="0" baseItem="0"/>
  </dataFields>
  <chartFormats count="5">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8" count="1" selected="0">
            <x v="2"/>
          </reference>
        </references>
      </pivotArea>
    </chartFormat>
    <chartFormat chart="4" format="4">
      <pivotArea type="data" outline="0" fieldPosition="0">
        <references count="2">
          <reference field="4294967294" count="1" selected="0">
            <x v="0"/>
          </reference>
          <reference field="8" count="1" selected="0">
            <x v="0"/>
          </reference>
        </references>
      </pivotArea>
    </chartFormat>
    <chartFormat chart="4" format="5">
      <pivotArea type="data" outline="0" fieldPosition="0">
        <references count="2">
          <reference field="4294967294" count="1" selected="0">
            <x v="0"/>
          </reference>
          <reference field="8" count="1" selected="0">
            <x v="1"/>
          </reference>
        </references>
      </pivotArea>
    </chartFormat>
    <chartFormat chart="4" format="6">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D2ABD7F-7248-4392-8281-ECF5CBB036B8}"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3:B41" firstHeaderRow="1" firstDataRow="1" firstDataCol="1"/>
  <pivotFields count="18">
    <pivotField showAll="0"/>
    <pivotField showAll="0"/>
    <pivotField axis="axisRow" showAll="0" sortType="ascending">
      <items count="8">
        <item x="4"/>
        <item x="2"/>
        <item x="0"/>
        <item x="1"/>
        <item x="3"/>
        <item x="6"/>
        <item x="5"/>
        <item t="default"/>
      </items>
      <autoSortScope>
        <pivotArea dataOnly="0" outline="0" fieldPosition="0">
          <references count="1">
            <reference field="4294967294" count="1" selected="0">
              <x v="0"/>
            </reference>
          </references>
        </pivotArea>
      </autoSortScope>
    </pivotField>
    <pivotField dataField="1"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items count="6">
        <item x="2"/>
        <item x="1"/>
        <item x="4"/>
        <item x="3"/>
        <item x="0"/>
        <item t="default"/>
      </items>
    </pivotField>
    <pivotField showAll="0">
      <items count="8">
        <item x="0"/>
        <item x="1"/>
        <item x="2"/>
        <item x="3"/>
        <item x="4"/>
        <item x="5"/>
        <item x="6"/>
        <item t="default"/>
      </items>
    </pivotField>
    <pivotField showAll="0">
      <items count="5">
        <item x="1"/>
        <item x="0"/>
        <item x="3"/>
        <item x="2"/>
        <item t="default"/>
      </items>
    </pivotField>
    <pivotField showAll="0">
      <items count="3">
        <item x="0"/>
        <item x="1"/>
        <item t="default"/>
      </items>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Fields count="1">
    <field x="2"/>
  </rowFields>
  <rowItems count="8">
    <i>
      <x v="5"/>
    </i>
    <i>
      <x v="1"/>
    </i>
    <i>
      <x/>
    </i>
    <i>
      <x v="3"/>
    </i>
    <i>
      <x v="4"/>
    </i>
    <i>
      <x v="6"/>
    </i>
    <i>
      <x v="2"/>
    </i>
    <i t="grand">
      <x/>
    </i>
  </rowItems>
  <colItems count="1">
    <i/>
  </colItems>
  <dataFields count="1">
    <dataField name="." fld="3"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24EFFA1-E75F-4AFB-A871-57037DEFB07C}"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D14:E31" firstHeaderRow="1" firstDataRow="1" firstDataCol="1"/>
  <pivotFields count="18">
    <pivotField dataField="1" showAll="0"/>
    <pivotField showAll="0"/>
    <pivotField showAll="0"/>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items count="6">
        <item x="2"/>
        <item x="1"/>
        <item x="4"/>
        <item x="3"/>
        <item x="0"/>
        <item t="default"/>
      </items>
    </pivotField>
    <pivotField showAll="0">
      <items count="8">
        <item x="0"/>
        <item x="1"/>
        <item x="2"/>
        <item x="3"/>
        <item x="4"/>
        <item x="5"/>
        <item x="6"/>
        <item t="default"/>
      </items>
    </pivotField>
    <pivotField showAll="0">
      <items count="5">
        <item x="1"/>
        <item x="0"/>
        <item x="3"/>
        <item x="2"/>
        <item t="default"/>
      </items>
    </pivotField>
    <pivotField showAll="0">
      <items count="3">
        <item x="0"/>
        <item x="1"/>
        <item t="default"/>
      </items>
    </pivotField>
    <pivotField showAll="0"/>
    <pivotField axis="axisRow" showAll="0">
      <items count="13">
        <item x="8"/>
        <item x="4"/>
        <item x="1"/>
        <item x="5"/>
        <item x="6"/>
        <item x="11"/>
        <item x="7"/>
        <item x="0"/>
        <item x="9"/>
        <item x="2"/>
        <item x="10"/>
        <item x="3"/>
        <item t="default"/>
      </items>
    </pivotField>
    <pivotField showAll="0"/>
    <pivotField axis="axisRow" showAll="0">
      <items count="17">
        <item sd="0" x="15"/>
        <item n="2011" sd="0" x="0"/>
        <item n="2012" sd="0" x="14"/>
        <item n="2013" sd="0" x="13"/>
        <item n="2014" sd="0" x="12"/>
        <item n="2015" sd="0" x="7"/>
        <item n="2016" sd="0" x="5"/>
        <item n="2017" sd="0" x="10"/>
        <item n="2018" sd="0" x="1"/>
        <item n="2019" sd="0" x="11"/>
        <item n="2020" sd="0" x="6"/>
        <item n="2021" sd="0" x="4"/>
        <item n="2022" sd="0" x="9"/>
        <item n="2023" sd="0" x="2"/>
        <item n="2024" sd="0" x="3"/>
        <item n="2025" sd="0" x="8"/>
        <item t="default" sd="0"/>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Fields count="2">
    <field x="13"/>
    <field x="11"/>
  </rowFields>
  <rowItems count="17">
    <i>
      <x/>
    </i>
    <i>
      <x v="1"/>
    </i>
    <i>
      <x v="2"/>
    </i>
    <i>
      <x v="3"/>
    </i>
    <i>
      <x v="4"/>
    </i>
    <i>
      <x v="5"/>
    </i>
    <i>
      <x v="6"/>
    </i>
    <i>
      <x v="7"/>
    </i>
    <i>
      <x v="8"/>
    </i>
    <i>
      <x v="9"/>
    </i>
    <i>
      <x v="10"/>
    </i>
    <i>
      <x v="11"/>
    </i>
    <i>
      <x v="12"/>
    </i>
    <i>
      <x v="13"/>
    </i>
    <i>
      <x v="14"/>
    </i>
    <i>
      <x v="15"/>
    </i>
    <i t="grand">
      <x/>
    </i>
  </rowItems>
  <colItems count="1">
    <i/>
  </colItems>
  <dataFields count="1">
    <dataField name="Count of Employee_ID" fld="0" subtotal="count" baseField="0" baseItem="0"/>
  </dataFields>
  <chartFormats count="2">
    <chartFormat chart="3" format="2"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A8A9385-721F-4342-9E74-2B9D5CD7FD54}"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F42:G59" firstHeaderRow="1" firstDataRow="1" firstDataCol="1"/>
  <pivotFields count="18">
    <pivotField showAll="0"/>
    <pivotField showAll="0"/>
    <pivotField showAll="0"/>
    <pivotField showAll="0"/>
    <pivotField dataField="1"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items count="6">
        <item x="2"/>
        <item x="1"/>
        <item x="4"/>
        <item x="3"/>
        <item x="0"/>
        <item t="default"/>
      </items>
    </pivotField>
    <pivotField showAll="0">
      <items count="8">
        <item x="0"/>
        <item x="1"/>
        <item x="2"/>
        <item x="3"/>
        <item x="4"/>
        <item x="5"/>
        <item x="6"/>
        <item t="default"/>
      </items>
    </pivotField>
    <pivotField showAll="0">
      <items count="5">
        <item x="1"/>
        <item x="0"/>
        <item x="3"/>
        <item x="2"/>
        <item t="default"/>
      </items>
    </pivotField>
    <pivotField showAll="0">
      <items count="3">
        <item x="0"/>
        <item x="1"/>
        <item t="default"/>
      </items>
    </pivotField>
    <pivotField showAll="0"/>
    <pivotField showAll="0"/>
    <pivotField showAll="0"/>
    <pivotField axis="axisRow" showAll="0">
      <items count="17">
        <item x="15"/>
        <item x="0"/>
        <item x="14"/>
        <item x="13"/>
        <item x="12"/>
        <item x="7"/>
        <item x="5"/>
        <item x="10"/>
        <item x="1"/>
        <item x="11"/>
        <item x="6"/>
        <item x="4"/>
        <item x="9"/>
        <item x="2"/>
        <item x="3"/>
        <item x="8"/>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Fields count="1">
    <field x="13"/>
  </rowFields>
  <rowItems count="17">
    <i>
      <x/>
    </i>
    <i>
      <x v="1"/>
    </i>
    <i>
      <x v="2"/>
    </i>
    <i>
      <x v="3"/>
    </i>
    <i>
      <x v="4"/>
    </i>
    <i>
      <x v="5"/>
    </i>
    <i>
      <x v="6"/>
    </i>
    <i>
      <x v="7"/>
    </i>
    <i>
      <x v="8"/>
    </i>
    <i>
      <x v="9"/>
    </i>
    <i>
      <x v="10"/>
    </i>
    <i>
      <x v="11"/>
    </i>
    <i>
      <x v="12"/>
    </i>
    <i>
      <x v="13"/>
    </i>
    <i>
      <x v="14"/>
    </i>
    <i>
      <x v="15"/>
    </i>
    <i t="grand">
      <x/>
    </i>
  </rowItems>
  <colItems count="1">
    <i/>
  </colItems>
  <dataFields count="1">
    <dataField name="Count of Hire_Date"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3A388E8-0D24-4016-90F1-298EB78B648E}" name="PivotTable1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B20" firstHeaderRow="1" firstDataRow="1" firstDataCol="1"/>
  <pivotFields count="18">
    <pivotField showAll="0"/>
    <pivotField showAll="0"/>
    <pivotField showAll="0"/>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dataField="1" showAll="0">
      <items count="6">
        <item x="2"/>
        <item x="1"/>
        <item x="4"/>
        <item x="3"/>
        <item x="0"/>
        <item t="default"/>
      </items>
    </pivotField>
    <pivotField axis="axisRow" showAll="0">
      <items count="8">
        <item x="0"/>
        <item x="1"/>
        <item x="2"/>
        <item x="3"/>
        <item x="4"/>
        <item x="5"/>
        <item x="6"/>
        <item t="default"/>
      </items>
    </pivotField>
    <pivotField showAll="0">
      <items count="5">
        <item x="1"/>
        <item x="0"/>
        <item x="3"/>
        <item x="2"/>
        <item t="default"/>
      </items>
    </pivotField>
    <pivotField showAll="0">
      <items count="3">
        <item x="0"/>
        <item x="1"/>
        <item t="default"/>
      </items>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Fields count="1">
    <field x="7"/>
  </rowFields>
  <rowItems count="6">
    <i>
      <x v="1"/>
    </i>
    <i>
      <x v="2"/>
    </i>
    <i>
      <x v="3"/>
    </i>
    <i>
      <x v="4"/>
    </i>
    <i>
      <x v="5"/>
    </i>
    <i t="grand">
      <x/>
    </i>
  </rowItems>
  <colItems count="1">
    <i/>
  </colItems>
  <dataFields count="1">
    <dataField name="Average of Performance_Rating" fld="6" subtotal="average" baseField="7"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D1A5F5A-34AA-4D27-ACE7-043D725B5AA0}"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44:B74" firstHeaderRow="1" firstDataRow="1" firstDataCol="1"/>
  <pivotFields count="18">
    <pivotField showAll="0"/>
    <pivotField showAll="0"/>
    <pivotField showAll="0"/>
    <pivotField axis="axisRow" showAll="0">
      <items count="30">
        <item x="5"/>
        <item x="15"/>
        <item x="26"/>
        <item x="23"/>
        <item x="25"/>
        <item x="12"/>
        <item x="22"/>
        <item x="18"/>
        <item x="11"/>
        <item x="4"/>
        <item x="6"/>
        <item x="27"/>
        <item x="9"/>
        <item x="2"/>
        <item x="28"/>
        <item x="16"/>
        <item x="24"/>
        <item x="3"/>
        <item x="13"/>
        <item x="21"/>
        <item x="8"/>
        <item x="20"/>
        <item x="14"/>
        <item x="10"/>
        <item x="7"/>
        <item x="1"/>
        <item x="0"/>
        <item x="17"/>
        <item x="19"/>
        <item t="default"/>
      </items>
    </pivotField>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items count="6">
        <item x="2"/>
        <item x="1"/>
        <item x="4"/>
        <item x="3"/>
        <item x="0"/>
        <item t="default"/>
      </items>
    </pivotField>
    <pivotField showAll="0">
      <items count="8">
        <item x="0"/>
        <item x="1"/>
        <item x="2"/>
        <item x="3"/>
        <item x="4"/>
        <item x="5"/>
        <item x="6"/>
        <item t="default"/>
      </items>
    </pivotField>
    <pivotField showAll="0">
      <items count="5">
        <item x="1"/>
        <item x="0"/>
        <item x="3"/>
        <item x="2"/>
        <item t="default"/>
      </items>
    </pivotField>
    <pivotField showAll="0">
      <items count="3">
        <item x="0"/>
        <item x="1"/>
        <item t="default"/>
      </items>
    </pivotField>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Fields count="1">
    <field x="3"/>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Average of Salary_INR" fld="10" subtotal="average" baseField="3" baseItem="0" numFmtId="164"/>
  </dataFields>
  <formats count="1">
    <format dxfId="0">
      <pivotArea outline="0" collapsedLevelsAreSubtotals="1" fieldPosition="0"/>
    </format>
  </format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48D2584-BB00-42F8-9806-0C08B48EF520}" name="PivotTable1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F63:G69" firstHeaderRow="1" firstDataRow="1" firstDataCol="1"/>
  <pivotFields count="18">
    <pivotField dataField="1" showAll="0"/>
    <pivotField showAll="0"/>
    <pivotField showAll="0"/>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items count="6">
        <item x="2"/>
        <item x="1"/>
        <item x="4"/>
        <item x="3"/>
        <item x="0"/>
        <item t="default"/>
      </items>
    </pivotField>
    <pivotField axis="axisRow" showAll="0" sortType="descending">
      <items count="8">
        <item x="0"/>
        <item n="Freshers" x="1"/>
        <item n="Junior" x="2"/>
        <item n="Mid-Level" x="3"/>
        <item n="Senior" x="4"/>
        <item n="Leadership" x="5"/>
        <item x="6"/>
        <item t="default"/>
      </items>
      <autoSortScope>
        <pivotArea dataOnly="0" outline="0" fieldPosition="0">
          <references count="1">
            <reference field="4294967294" count="1" selected="0">
              <x v="0"/>
            </reference>
          </references>
        </pivotArea>
      </autoSortScope>
    </pivotField>
    <pivotField showAll="0">
      <items count="5">
        <item x="1"/>
        <item x="0"/>
        <item x="3"/>
        <item x="2"/>
        <item t="default"/>
      </items>
    </pivotField>
    <pivotField showAll="0">
      <items count="3">
        <item x="0"/>
        <item x="1"/>
        <item t="default"/>
      </items>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Fields count="1">
    <field x="7"/>
  </rowFields>
  <rowItems count="6">
    <i>
      <x v="1"/>
    </i>
    <i>
      <x v="2"/>
    </i>
    <i>
      <x v="3"/>
    </i>
    <i>
      <x v="4"/>
    </i>
    <i>
      <x v="5"/>
    </i>
    <i t="grand">
      <x/>
    </i>
  </rowItems>
  <colItems count="1">
    <i/>
  </colItems>
  <dataFields count="1">
    <dataField name="Count of Employee_ID" fld="0" subtotal="count" baseField="0" baseItem="0"/>
  </dataFields>
  <chartFormats count="10">
    <chartFormat chart="4" format="2"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4" format="3">
      <pivotArea type="data" outline="0" fieldPosition="0">
        <references count="2">
          <reference field="4294967294" count="1" selected="0">
            <x v="0"/>
          </reference>
          <reference field="7" count="1" selected="0">
            <x v="1"/>
          </reference>
        </references>
      </pivotArea>
    </chartFormat>
    <chartFormat chart="14" format="4">
      <pivotArea type="data" outline="0" fieldPosition="0">
        <references count="2">
          <reference field="4294967294" count="1" selected="0">
            <x v="0"/>
          </reference>
          <reference field="7" count="1" selected="0">
            <x v="2"/>
          </reference>
        </references>
      </pivotArea>
    </chartFormat>
    <chartFormat chart="14" format="5">
      <pivotArea type="data" outline="0" fieldPosition="0">
        <references count="2">
          <reference field="4294967294" count="1" selected="0">
            <x v="0"/>
          </reference>
          <reference field="7" count="1" selected="0">
            <x v="3"/>
          </reference>
        </references>
      </pivotArea>
    </chartFormat>
    <chartFormat chart="14" format="6">
      <pivotArea type="data" outline="0" fieldPosition="0">
        <references count="2">
          <reference field="4294967294" count="1" selected="0">
            <x v="0"/>
          </reference>
          <reference field="7" count="1" selected="0">
            <x v="4"/>
          </reference>
        </references>
      </pivotArea>
    </chartFormat>
    <chartFormat chart="14" format="7">
      <pivotArea type="data" outline="0" fieldPosition="0">
        <references count="2">
          <reference field="4294967294" count="1" selected="0">
            <x v="0"/>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548B2D5-74CC-4BD6-ABEC-57B1A7F312E2}"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D3:E11" firstHeaderRow="1" firstDataRow="1" firstDataCol="1"/>
  <pivotFields count="18">
    <pivotField showAll="0"/>
    <pivotField showAll="0"/>
    <pivotField axis="axisRow" showAll="0" sortType="ascending">
      <items count="8">
        <item x="4"/>
        <item x="2"/>
        <item x="0"/>
        <item x="1"/>
        <item x="3"/>
        <item x="6"/>
        <item x="5"/>
        <item t="default"/>
      </items>
      <autoSortScope>
        <pivotArea dataOnly="0" outline="0" fieldPosition="0">
          <references count="1">
            <reference field="4294967294" count="1" selected="0">
              <x v="0"/>
            </reference>
          </references>
        </pivotArea>
      </autoSortScope>
    </pivotField>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items count="6">
        <item x="2"/>
        <item x="1"/>
        <item x="4"/>
        <item x="3"/>
        <item x="0"/>
        <item t="default"/>
      </items>
    </pivotField>
    <pivotField showAll="0">
      <items count="8">
        <item x="0"/>
        <item x="1"/>
        <item x="2"/>
        <item x="3"/>
        <item x="4"/>
        <item x="5"/>
        <item x="6"/>
        <item t="default"/>
      </items>
    </pivotField>
    <pivotField showAll="0">
      <items count="5">
        <item x="1"/>
        <item x="0"/>
        <item x="3"/>
        <item x="2"/>
        <item t="default"/>
      </items>
    </pivotField>
    <pivotField showAll="0">
      <items count="3">
        <item x="0"/>
        <item x="1"/>
        <item t="default"/>
      </items>
    </pivotField>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Fields count="1">
    <field x="2"/>
  </rowFields>
  <rowItems count="8">
    <i>
      <x v="1"/>
    </i>
    <i>
      <x v="4"/>
    </i>
    <i>
      <x v="3"/>
    </i>
    <i>
      <x v="6"/>
    </i>
    <i>
      <x v="5"/>
    </i>
    <i>
      <x/>
    </i>
    <i>
      <x v="2"/>
    </i>
    <i t="grand">
      <x/>
    </i>
  </rowItems>
  <colItems count="1">
    <i/>
  </colItems>
  <dataFields count="1">
    <dataField name="Average of Salary_INR" fld="10" subtotal="average" baseField="2" baseItem="0" numFmtId="1"/>
  </dataFields>
  <chartFormats count="9">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2" count="1" selected="0">
            <x v="2"/>
          </reference>
        </references>
      </pivotArea>
    </chartFormat>
    <chartFormat chart="4" format="4">
      <pivotArea type="data" outline="0" fieldPosition="0">
        <references count="2">
          <reference field="4294967294" count="1" selected="0">
            <x v="0"/>
          </reference>
          <reference field="2" count="1" selected="0">
            <x v="0"/>
          </reference>
        </references>
      </pivotArea>
    </chartFormat>
    <chartFormat chart="4" format="5">
      <pivotArea type="data" outline="0" fieldPosition="0">
        <references count="2">
          <reference field="4294967294" count="1" selected="0">
            <x v="0"/>
          </reference>
          <reference field="2" count="1" selected="0">
            <x v="5"/>
          </reference>
        </references>
      </pivotArea>
    </chartFormat>
    <chartFormat chart="4" format="6">
      <pivotArea type="data" outline="0" fieldPosition="0">
        <references count="2">
          <reference field="4294967294" count="1" selected="0">
            <x v="0"/>
          </reference>
          <reference field="2" count="1" selected="0">
            <x v="6"/>
          </reference>
        </references>
      </pivotArea>
    </chartFormat>
    <chartFormat chart="4" format="7">
      <pivotArea type="data" outline="0" fieldPosition="0">
        <references count="2">
          <reference field="4294967294" count="1" selected="0">
            <x v="0"/>
          </reference>
          <reference field="2" count="1" selected="0">
            <x v="3"/>
          </reference>
        </references>
      </pivotArea>
    </chartFormat>
    <chartFormat chart="4" format="8">
      <pivotArea type="data" outline="0" fieldPosition="0">
        <references count="2">
          <reference field="4294967294" count="1" selected="0">
            <x v="0"/>
          </reference>
          <reference field="2" count="1" selected="0">
            <x v="4"/>
          </reference>
        </references>
      </pivotArea>
    </chartFormat>
    <chartFormat chart="4" format="9">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CCCBFC1-3D04-4D43-BD37-47E3592A8C69}" name="PivotTable1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F2" firstHeaderRow="1" firstDataRow="1" firstDataCol="0"/>
  <pivotFields count="18">
    <pivotField showAll="0"/>
    <pivotField showAll="0"/>
    <pivotField showAll="0"/>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dataField="1" showAll="0">
      <items count="6">
        <item x="2"/>
        <item x="1"/>
        <item x="4"/>
        <item x="3"/>
        <item x="0"/>
        <item t="default"/>
      </items>
    </pivotField>
    <pivotField showAll="0">
      <items count="8">
        <item x="0"/>
        <item x="1"/>
        <item x="2"/>
        <item x="3"/>
        <item x="4"/>
        <item x="5"/>
        <item x="6"/>
        <item t="default"/>
      </items>
    </pivotField>
    <pivotField showAll="0">
      <items count="5">
        <item x="1"/>
        <item x="0"/>
        <item x="3"/>
        <item x="2"/>
        <item t="default"/>
      </items>
    </pivotField>
    <pivotField showAll="0">
      <items count="3">
        <item x="0"/>
        <item x="1"/>
        <item t="default"/>
      </items>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Items count="1">
    <i/>
  </rowItems>
  <colItems count="1">
    <i/>
  </colItems>
  <dataFields count="1">
    <dataField name="Average of Performance_Rating" fld="6" subtotal="average" baseField="0" baseItem="0" numFmtId="165"/>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C3874C7-504A-4B52-96D6-0B3A7C3FE195}"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8">
    <pivotField showAll="0"/>
    <pivotField showAll="0"/>
    <pivotField showAll="0"/>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dataField="1" showAll="0">
      <items count="6">
        <item x="2"/>
        <item x="1"/>
        <item x="4"/>
        <item x="3"/>
        <item x="0"/>
        <item t="default"/>
      </items>
    </pivotField>
    <pivotField showAll="0">
      <items count="8">
        <item x="0"/>
        <item x="1"/>
        <item x="2"/>
        <item x="3"/>
        <item x="4"/>
        <item x="5"/>
        <item x="6"/>
        <item t="default"/>
      </items>
    </pivotField>
    <pivotField showAll="0">
      <items count="5">
        <item x="1"/>
        <item x="0"/>
        <item x="3"/>
        <item x="2"/>
        <item t="default"/>
      </items>
    </pivotField>
    <pivotField showAll="0">
      <items count="3">
        <item x="0"/>
        <item x="1"/>
        <item t="default"/>
      </items>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Items count="1">
    <i/>
  </rowItems>
  <colItems count="1">
    <i/>
  </colItems>
  <dataFields count="1">
    <dataField name="Sum of Performance_Rating"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C7BF330-4FD5-4F39-837C-50DF35E91BDE}"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12:H18" firstHeaderRow="1" firstDataRow="1" firstDataCol="1"/>
  <pivotFields count="18">
    <pivotField showAll="0"/>
    <pivotField showAll="0"/>
    <pivotField dataField="1" showAll="0"/>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items count="6">
        <item x="2"/>
        <item x="1"/>
        <item x="4"/>
        <item x="3"/>
        <item x="0"/>
        <item t="default"/>
      </items>
    </pivotField>
    <pivotField axis="axisRow" showAll="0">
      <items count="8">
        <item x="0"/>
        <item x="1"/>
        <item x="2"/>
        <item x="3"/>
        <item x="4"/>
        <item x="5"/>
        <item x="6"/>
        <item t="default"/>
      </items>
    </pivotField>
    <pivotField showAll="0">
      <items count="5">
        <item x="1"/>
        <item x="0"/>
        <item x="3"/>
        <item x="2"/>
        <item t="default"/>
      </items>
    </pivotField>
    <pivotField showAll="0">
      <items count="3">
        <item x="0"/>
        <item x="1"/>
        <item t="default"/>
      </items>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Fields count="1">
    <field x="7"/>
  </rowFields>
  <rowItems count="6">
    <i>
      <x v="1"/>
    </i>
    <i>
      <x v="2"/>
    </i>
    <i>
      <x v="3"/>
    </i>
    <i>
      <x v="4"/>
    </i>
    <i>
      <x v="5"/>
    </i>
    <i t="grand">
      <x/>
    </i>
  </rowItems>
  <colItems count="1">
    <i/>
  </colItems>
  <dataFields count="1">
    <dataField name="Count of Department"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2EF2BDD-97D6-468E-BB89-0E22DAD7D888}"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D2" firstHeaderRow="1" firstDataRow="1" firstDataCol="0"/>
  <pivotFields count="18">
    <pivotField showAll="0"/>
    <pivotField showAll="0"/>
    <pivotField showAll="0"/>
    <pivotField showAll="0"/>
    <pivotField numFmtId="14" showAll="0">
      <items count="5480">
        <item x="5155"/>
        <item x="5376"/>
        <item x="422"/>
        <item x="4223"/>
        <item x="2983"/>
        <item x="5352"/>
        <item x="4340"/>
        <item x="3894"/>
        <item x="4543"/>
        <item x="3986"/>
        <item x="5031"/>
        <item x="4676"/>
        <item x="3923"/>
        <item x="3821"/>
        <item x="1673"/>
        <item x="1399"/>
        <item x="4094"/>
        <item x="840"/>
        <item x="3022"/>
        <item x="1321"/>
        <item x="523"/>
        <item x="4888"/>
        <item x="2868"/>
        <item x="4814"/>
        <item x="1961"/>
        <item x="5038"/>
        <item x="3616"/>
        <item x="279"/>
        <item x="3403"/>
        <item x="5041"/>
        <item x="5294"/>
        <item x="1662"/>
        <item x="4938"/>
        <item x="4616"/>
        <item x="4566"/>
        <item x="4460"/>
        <item x="4552"/>
        <item x="4351"/>
        <item x="1344"/>
        <item x="4615"/>
        <item x="4961"/>
        <item x="2438"/>
        <item x="5106"/>
        <item x="3021"/>
        <item x="5290"/>
        <item x="5126"/>
        <item x="4699"/>
        <item x="4288"/>
        <item x="3663"/>
        <item x="5130"/>
        <item x="4366"/>
        <item x="3845"/>
        <item x="4944"/>
        <item x="3597"/>
        <item x="829"/>
        <item x="4658"/>
        <item x="4815"/>
        <item x="5315"/>
        <item x="3661"/>
        <item x="3215"/>
        <item x="5296"/>
        <item x="1380"/>
        <item x="5412"/>
        <item x="3466"/>
        <item x="4879"/>
        <item x="5300"/>
        <item x="1815"/>
        <item x="2195"/>
        <item x="403"/>
        <item x="3275"/>
        <item x="3857"/>
        <item x="5067"/>
        <item x="3121"/>
        <item x="5008"/>
        <item x="4974"/>
        <item x="5467"/>
        <item x="5429"/>
        <item x="5289"/>
        <item x="3822"/>
        <item x="4427"/>
        <item x="2367"/>
        <item x="3443"/>
        <item x="4631"/>
        <item x="5202"/>
        <item x="5251"/>
        <item x="5169"/>
        <item x="1658"/>
        <item x="4147"/>
        <item x="4520"/>
        <item x="5443"/>
        <item x="2799"/>
        <item x="1452"/>
        <item x="5465"/>
        <item x="4665"/>
        <item x="5358"/>
        <item x="4705"/>
        <item x="5302"/>
        <item x="5331"/>
        <item x="4951"/>
        <item x="3928"/>
        <item x="3736"/>
        <item x="1225"/>
        <item x="3563"/>
        <item x="2982"/>
        <item x="5137"/>
        <item x="4254"/>
        <item x="3325"/>
        <item x="5328"/>
        <item x="4448"/>
        <item x="3835"/>
        <item x="5284"/>
        <item x="5048"/>
        <item x="4838"/>
        <item x="5191"/>
        <item x="5025"/>
        <item x="2206"/>
        <item x="3854"/>
        <item x="1904"/>
        <item x="4587"/>
        <item x="4059"/>
        <item x="4150"/>
        <item x="5208"/>
        <item x="5402"/>
        <item x="5187"/>
        <item x="5206"/>
        <item x="5121"/>
        <item x="4786"/>
        <item x="4756"/>
        <item x="4303"/>
        <item x="5462"/>
        <item x="4305"/>
        <item x="4314"/>
        <item x="5120"/>
        <item x="5262"/>
        <item x="1166"/>
        <item x="2085"/>
        <item x="5362"/>
        <item x="4792"/>
        <item x="5247"/>
        <item x="4034"/>
        <item x="5163"/>
        <item x="4501"/>
        <item x="5406"/>
        <item x="4450"/>
        <item x="151"/>
        <item x="4925"/>
        <item x="4977"/>
        <item x="5396"/>
        <item x="1798"/>
        <item x="4902"/>
        <item x="4730"/>
        <item x="4389"/>
        <item x="3933"/>
        <item x="4560"/>
        <item x="371"/>
        <item x="5293"/>
        <item x="2102"/>
        <item x="4024"/>
        <item x="5053"/>
        <item x="2597"/>
        <item x="1607"/>
        <item x="3145"/>
        <item x="3997"/>
        <item x="5068"/>
        <item x="5124"/>
        <item x="4828"/>
        <item x="1989"/>
        <item x="4696"/>
        <item x="40"/>
        <item x="3665"/>
        <item x="2512"/>
        <item x="5072"/>
        <item x="3769"/>
        <item x="4664"/>
        <item x="4362"/>
        <item x="5002"/>
        <item x="4777"/>
        <item x="3445"/>
        <item x="577"/>
        <item x="4896"/>
        <item x="4431"/>
        <item x="3733"/>
        <item x="1043"/>
        <item x="5436"/>
        <item x="4797"/>
        <item x="3319"/>
        <item x="4192"/>
        <item x="625"/>
        <item x="2531"/>
        <item x="4960"/>
        <item x="5478"/>
        <item x="846"/>
        <item x="776"/>
        <item x="2446"/>
        <item x="3262"/>
        <item x="5242"/>
        <item x="5129"/>
        <item x="4392"/>
        <item x="4319"/>
        <item x="4244"/>
        <item x="2552"/>
        <item x="4525"/>
        <item x="4765"/>
        <item x="4106"/>
        <item x="4370"/>
        <item x="2312"/>
        <item x="1403"/>
        <item x="2641"/>
        <item x="5365"/>
        <item x="4166"/>
        <item x="4506"/>
        <item x="3340"/>
        <item x="2453"/>
        <item x="5234"/>
        <item x="1156"/>
        <item x="5473"/>
        <item x="3423"/>
        <item x="3625"/>
        <item x="5285"/>
        <item x="4701"/>
        <item x="1270"/>
        <item x="291"/>
        <item x="2584"/>
        <item x="4604"/>
        <item x="4876"/>
        <item x="4670"/>
        <item x="2347"/>
        <item x="3435"/>
        <item x="5063"/>
        <item x="5099"/>
        <item x="5304"/>
        <item x="3409"/>
        <item x="2628"/>
        <item x="1045"/>
        <item x="4829"/>
        <item x="5350"/>
        <item x="5386"/>
        <item x="2923"/>
        <item x="5390"/>
        <item x="3760"/>
        <item x="153"/>
        <item x="3918"/>
        <item x="4494"/>
        <item x="3526"/>
        <item x="3899"/>
        <item x="2618"/>
        <item x="1378"/>
        <item x="4782"/>
        <item x="4748"/>
        <item x="4423"/>
        <item x="5283"/>
        <item x="1416"/>
        <item x="4943"/>
        <item x="3480"/>
        <item x="2620"/>
        <item x="3937"/>
        <item x="3587"/>
        <item x="5394"/>
        <item x="4662"/>
        <item x="3136"/>
        <item x="4997"/>
        <item x="4914"/>
        <item x="12"/>
        <item x="5071"/>
        <item x="4492"/>
        <item x="4063"/>
        <item x="288"/>
        <item x="4474"/>
        <item x="3930"/>
        <item x="2950"/>
        <item x="482"/>
        <item x="5133"/>
        <item x="5401"/>
        <item x="2638"/>
        <item x="5179"/>
        <item x="4805"/>
        <item x="1818"/>
        <item x="4285"/>
        <item x="4993"/>
        <item x="4899"/>
        <item x="1602"/>
        <item x="4457"/>
        <item x="4242"/>
        <item x="3979"/>
        <item x="5223"/>
        <item x="3353"/>
        <item x="5281"/>
        <item x="5215"/>
        <item x="5382"/>
        <item x="5343"/>
        <item x="2046"/>
        <item x="4519"/>
        <item x="4798"/>
        <item x="3876"/>
        <item x="3842"/>
        <item x="115"/>
        <item x="5373"/>
        <item x="4422"/>
        <item x="1640"/>
        <item x="4957"/>
        <item x="5271"/>
        <item x="4390"/>
        <item x="4188"/>
        <item x="1018"/>
        <item x="1531"/>
        <item x="46"/>
        <item x="3279"/>
        <item x="5466"/>
        <item x="995"/>
        <item x="2623"/>
        <item x="4567"/>
        <item x="5101"/>
        <item x="2823"/>
        <item x="4602"/>
        <item x="5245"/>
        <item x="4111"/>
        <item x="4588"/>
        <item x="3946"/>
        <item x="1494"/>
        <item x="4318"/>
        <item x="5125"/>
        <item x="4601"/>
        <item x="2912"/>
        <item x="4992"/>
        <item x="3749"/>
        <item x="4946"/>
        <item x="4277"/>
        <item x="5185"/>
        <item x="5089"/>
        <item x="4795"/>
        <item x="3144"/>
        <item x="4142"/>
        <item x="5139"/>
        <item x="5370"/>
        <item x="4990"/>
        <item x="1965"/>
        <item x="3169"/>
        <item x="5022"/>
        <item x="4641"/>
        <item x="3205"/>
        <item x="5263"/>
        <item x="4206"/>
        <item x="4979"/>
        <item x="3723"/>
        <item x="5098"/>
        <item x="5122"/>
        <item x="5286"/>
        <item x="1014"/>
        <item x="5476"/>
        <item x="3734"/>
        <item x="4097"/>
        <item x="4754"/>
        <item x="4744"/>
        <item x="4310"/>
        <item x="4632"/>
        <item x="3783"/>
        <item x="5229"/>
        <item x="2015"/>
        <item x="5111"/>
        <item x="3559"/>
        <item x="4629"/>
        <item x="0"/>
        <item x="50"/>
        <item x="4016"/>
        <item x="4651"/>
        <item x="563"/>
        <item x="3977"/>
        <item x="4451"/>
        <item x="2880"/>
        <item x="4286"/>
        <item x="4835"/>
        <item x="4891"/>
        <item x="2471"/>
        <item x="3582"/>
        <item x="4373"/>
        <item x="3158"/>
        <item x="3929"/>
        <item x="5074"/>
        <item x="3364"/>
        <item x="2856"/>
        <item x="4799"/>
        <item x="3732"/>
        <item x="5145"/>
        <item x="4536"/>
        <item x="3810"/>
        <item x="5128"/>
        <item x="4675"/>
        <item x="4219"/>
        <item x="1828"/>
        <item x="178"/>
        <item x="4751"/>
        <item x="4886"/>
        <item x="5377"/>
        <item x="5173"/>
        <item x="1492"/>
        <item x="389"/>
        <item x="1707"/>
        <item x="5341"/>
        <item x="3450"/>
        <item x="5451"/>
        <item x="4338"/>
        <item x="2699"/>
        <item x="5117"/>
        <item x="698"/>
        <item x="2355"/>
        <item x="2113"/>
        <item x="3346"/>
        <item x="4775"/>
        <item x="5469"/>
        <item x="2712"/>
        <item x="4755"/>
        <item x="3966"/>
        <item x="4415"/>
        <item x="1796"/>
        <item x="3323"/>
        <item x="4711"/>
        <item x="4787"/>
        <item x="4154"/>
        <item x="2591"/>
        <item x="5313"/>
        <item x="4235"/>
        <item x="5077"/>
        <item x="2976"/>
        <item x="5249"/>
        <item x="540"/>
        <item x="1268"/>
        <item x="4824"/>
        <item x="5456"/>
        <item x="297"/>
        <item x="4923"/>
        <item x="3753"/>
        <item x="5332"/>
        <item x="4617"/>
        <item x="4784"/>
        <item x="2562"/>
        <item x="1584"/>
        <item x="2648"/>
        <item x="3067"/>
        <item x="3644"/>
        <item x="4005"/>
        <item x="4813"/>
        <item x="5194"/>
        <item x="5463"/>
        <item x="2849"/>
        <item x="2023"/>
        <item x="5193"/>
        <item x="2410"/>
        <item x="4316"/>
        <item x="2291"/>
        <item x="3695"/>
        <item x="4881"/>
        <item x="4101"/>
        <item x="5424"/>
        <item x="4685"/>
        <item x="1160"/>
        <item x="4232"/>
        <item x="530"/>
        <item x="5329"/>
        <item x="5190"/>
        <item x="4564"/>
        <item x="2104"/>
        <item x="3216"/>
        <item x="3452"/>
        <item x="5317"/>
        <item x="5238"/>
        <item x="5093"/>
        <item x="5413"/>
        <item x="4948"/>
        <item x="4721"/>
        <item x="2014"/>
        <item x="4480"/>
        <item x="970"/>
        <item x="5080"/>
        <item x="5235"/>
        <item x="1913"/>
        <item x="626"/>
        <item x="4256"/>
        <item x="3724"/>
        <item x="5104"/>
        <item x="2120"/>
        <item x="2545"/>
        <item x="5282"/>
        <item x="745"/>
        <item x="4865"/>
        <item x="4767"/>
        <item x="4656"/>
        <item x="3552"/>
        <item x="3995"/>
        <item x="5422"/>
        <item x="2431"/>
        <item x="5230"/>
        <item x="4963"/>
        <item x="4226"/>
        <item x="929"/>
        <item x="5001"/>
        <item x="3864"/>
        <item x="4817"/>
        <item x="4871"/>
        <item x="3357"/>
        <item x="2991"/>
        <item x="3964"/>
        <item x="714"/>
        <item x="417"/>
        <item x="5028"/>
        <item x="3807"/>
        <item x="4830"/>
        <item x="5416"/>
        <item x="3349"/>
        <item x="2845"/>
        <item x="5047"/>
        <item x="5056"/>
        <item x="4909"/>
        <item x="4130"/>
        <item x="5232"/>
        <item x="1854"/>
        <item x="5138"/>
        <item x="4882"/>
        <item x="4999"/>
        <item x="1661"/>
        <item x="4652"/>
        <item x="5216"/>
        <item x="5224"/>
        <item x="2885"/>
        <item x="1667"/>
        <item x="4708"/>
        <item x="4994"/>
        <item x="5361"/>
        <item x="5222"/>
        <item x="4966"/>
        <item x="5174"/>
        <item x="5078"/>
        <item x="4484"/>
        <item x="5199"/>
        <item x="4936"/>
        <item x="5236"/>
        <item x="4047"/>
        <item x="3871"/>
        <item x="4009"/>
        <item x="953"/>
        <item x="5178"/>
        <item x="5268"/>
        <item x="5348"/>
        <item x="934"/>
        <item x="4746"/>
        <item x="5395"/>
        <item x="4531"/>
        <item x="5389"/>
        <item x="4739"/>
        <item x="1413"/>
        <item x="705"/>
        <item x="5150"/>
        <item x="5144"/>
        <item x="3689"/>
        <item x="5085"/>
        <item x="2406"/>
        <item x="2647"/>
        <item x="4867"/>
        <item x="4715"/>
        <item x="4003"/>
        <item x="4762"/>
        <item x="5453"/>
        <item x="1349"/>
        <item x="4648"/>
        <item x="2252"/>
        <item x="3382"/>
        <item x="5381"/>
        <item x="5410"/>
        <item x="498"/>
        <item x="3527"/>
        <item x="3191"/>
        <item x="4599"/>
        <item x="3610"/>
        <item x="3969"/>
        <item x="4710"/>
        <item x="3611"/>
        <item x="4553"/>
        <item x="3746"/>
        <item x="248"/>
        <item x="5113"/>
        <item x="4847"/>
        <item x="4167"/>
        <item x="1683"/>
        <item x="1868"/>
        <item x="2685"/>
        <item x="3465"/>
        <item x="4247"/>
        <item x="4398"/>
        <item x="3738"/>
        <item x="5135"/>
        <item x="4186"/>
        <item x="5427"/>
        <item x="4072"/>
        <item x="4846"/>
        <item x="3189"/>
        <item x="1285"/>
        <item x="96"/>
        <item x="909"/>
        <item x="771"/>
        <item x="478"/>
        <item x="4334"/>
        <item x="3289"/>
        <item x="4568"/>
        <item x="4727"/>
        <item x="3545"/>
        <item x="3659"/>
        <item x="5065"/>
        <item x="5405"/>
        <item x="4887"/>
        <item x="3113"/>
        <item x="5325"/>
        <item x="4447"/>
        <item x="2595"/>
        <item x="5438"/>
        <item x="4758"/>
        <item x="4607"/>
        <item x="2222"/>
        <item x="3203"/>
        <item x="3535"/>
        <item x="4863"/>
        <item x="4750"/>
        <item x="5075"/>
        <item x="1626"/>
        <item x="5142"/>
        <item x="4726"/>
        <item x="4466"/>
        <item x="3269"/>
        <item x="5250"/>
        <item x="2096"/>
        <item x="2797"/>
        <item x="3614"/>
        <item x="4761"/>
        <item x="1840"/>
        <item x="3072"/>
        <item x="4554"/>
        <item x="4874"/>
        <item x="4524"/>
        <item x="3198"/>
        <item x="1361"/>
        <item x="3649"/>
        <item x="4509"/>
        <item x="5265"/>
        <item x="5014"/>
        <item x="3150"/>
        <item x="4697"/>
        <item x="5330"/>
        <item x="5449"/>
        <item x="3042"/>
        <item x="2440"/>
        <item x="4714"/>
        <item x="4854"/>
        <item x="4413"/>
        <item x="5351"/>
        <item x="1880"/>
        <item x="5260"/>
        <item x="4818"/>
        <item x="1534"/>
        <item x="5254"/>
        <item x="3726"/>
        <item x="1490"/>
        <item x="3891"/>
        <item x="4964"/>
        <item x="5054"/>
        <item x="3771"/>
        <item x="3642"/>
        <item x="5159"/>
        <item x="4092"/>
        <item x="1612"/>
        <item x="5421"/>
        <item x="3646"/>
        <item x="4668"/>
        <item x="5151"/>
        <item x="5256"/>
        <item x="3551"/>
        <item x="5086"/>
        <item x="1319"/>
        <item x="3924"/>
        <item x="3332"/>
        <item x="5018"/>
        <item x="5039"/>
        <item x="5204"/>
        <item x="4926"/>
        <item x="2177"/>
        <item x="4073"/>
        <item x="4357"/>
        <item x="3648"/>
        <item x="4504"/>
        <item x="4452"/>
        <item x="3388"/>
        <item x="4057"/>
        <item x="4592"/>
        <item x="1997"/>
        <item x="5043"/>
        <item x="569"/>
        <item x="5158"/>
        <item x="5006"/>
        <item x="4737"/>
        <item x="4825"/>
        <item x="3934"/>
        <item x="5131"/>
        <item x="3464"/>
        <item x="4490"/>
        <item x="2806"/>
        <item x="2480"/>
        <item x="5237"/>
        <item x="4901"/>
        <item x="1495"/>
        <item x="2131"/>
        <item x="4132"/>
        <item x="254"/>
        <item x="4932"/>
        <item x="3831"/>
        <item x="5380"/>
        <item x="4045"/>
        <item x="3509"/>
        <item x="5367"/>
        <item x="5115"/>
        <item x="5248"/>
        <item x="3291"/>
        <item x="5253"/>
        <item x="4540"/>
        <item x="5246"/>
        <item x="5287"/>
        <item x="4511"/>
        <item x="5432"/>
        <item x="5034"/>
        <item x="3521"/>
        <item x="5299"/>
        <item x="3947"/>
        <item x="5435"/>
        <item x="4027"/>
        <item x="3407"/>
        <item x="5046"/>
        <item x="4659"/>
        <item x="4663"/>
        <item x="4723"/>
        <item x="4987"/>
        <item x="1760"/>
        <item x="5309"/>
        <item x="3800"/>
        <item x="5132"/>
        <item x="3991"/>
        <item x="265"/>
        <item x="2294"/>
        <item x="4900"/>
        <item x="5403"/>
        <item x="2782"/>
        <item x="92"/>
        <item x="4523"/>
        <item x="3112"/>
        <item x="5108"/>
        <item x="5326"/>
        <item x="5335"/>
        <item x="4889"/>
        <item x="4327"/>
        <item x="3915"/>
        <item x="5437"/>
        <item x="3878"/>
        <item x="3007"/>
        <item x="5477"/>
        <item x="2580"/>
        <item x="3881"/>
        <item x="5452"/>
        <item x="2133"/>
        <item x="3590"/>
        <item x="2908"/>
        <item x="4933"/>
        <item x="3454"/>
        <item x="4802"/>
        <item x="5082"/>
        <item x="5143"/>
        <item x="5459"/>
        <item x="4917"/>
        <item x="5428"/>
        <item x="5070"/>
        <item x="3006"/>
        <item x="4548"/>
        <item x="838"/>
        <item x="4205"/>
        <item x="4906"/>
        <item x="3750"/>
        <item x="952"/>
        <item x="4020"/>
        <item x="5029"/>
        <item x="3883"/>
        <item x="4734"/>
        <item x="5409"/>
        <item x="4718"/>
        <item x="878"/>
        <item x="4425"/>
        <item x="1952"/>
        <item x="4868"/>
        <item x="5407"/>
        <item x="3669"/>
        <item x="5052"/>
        <item x="2116"/>
        <item x="4534"/>
        <item x="1046"/>
        <item x="4300"/>
        <item x="3056"/>
        <item x="3532"/>
        <item x="5471"/>
        <item x="2907"/>
        <item x="4608"/>
        <item x="5091"/>
        <item x="2327"/>
        <item x="2330"/>
        <item x="5152"/>
        <item x="108"/>
        <item x="616"/>
        <item x="5147"/>
        <item x="5162"/>
        <item x="5102"/>
        <item x="5057"/>
        <item x="1048"/>
        <item x="4916"/>
        <item x="5319"/>
        <item x="5203"/>
        <item x="4875"/>
        <item x="1898"/>
        <item x="4851"/>
        <item x="837"/>
        <item x="1967"/>
        <item x="4257"/>
        <item x="5240"/>
        <item x="4822"/>
        <item x="5425"/>
        <item x="1630"/>
        <item x="4654"/>
        <item x="4904"/>
        <item x="5160"/>
        <item x="4365"/>
        <item x="4945"/>
        <item x="3308"/>
        <item x="1030"/>
        <item x="4173"/>
        <item x="4834"/>
        <item x="4311"/>
        <item x="3506"/>
        <item x="4981"/>
        <item x="5146"/>
        <item x="4044"/>
        <item x="5027"/>
        <item x="3358"/>
        <item x="5241"/>
        <item x="2704"/>
        <item x="4313"/>
        <item x="1396"/>
        <item x="139"/>
        <item x="2230"/>
        <item x="4386"/>
        <item x="3414"/>
        <item x="4471"/>
        <item x="1827"/>
        <item x="3030"/>
        <item x="1521"/>
        <item x="4571"/>
        <item x="2848"/>
        <item x="5292"/>
        <item x="4184"/>
        <item x="5181"/>
        <item x="5264"/>
        <item x="3693"/>
        <item x="4962"/>
        <item x="4570"/>
        <item x="4218"/>
        <item x="3533"/>
        <item x="4771"/>
        <item x="5360"/>
        <item x="5118"/>
        <item x="4982"/>
        <item x="4574"/>
        <item x="2261"/>
        <item x="5195"/>
        <item x="4070"/>
        <item x="2572"/>
        <item x="4569"/>
        <item x="204"/>
        <item x="3684"/>
        <item x="3271"/>
        <item x="2383"/>
        <item x="5274"/>
        <item x="3491"/>
        <item x="4510"/>
        <item x="3826"/>
        <item x="542"/>
        <item x="5092"/>
        <item x="2372"/>
        <item x="3712"/>
        <item x="3692"/>
        <item x="5148"/>
        <item x="414"/>
        <item x="4703"/>
        <item x="4071"/>
        <item x="3225"/>
        <item x="2749"/>
        <item x="2975"/>
        <item x="5103"/>
        <item x="5136"/>
        <item x="3941"/>
        <item x="2214"/>
        <item x="5180"/>
        <item x="1121"/>
        <item x="3379"/>
        <item x="5049"/>
        <item x="2807"/>
        <item x="2484"/>
        <item x="5472"/>
        <item x="1404"/>
        <item x="4820"/>
        <item x="2838"/>
        <item x="113"/>
        <item x="4295"/>
        <item x="3633"/>
        <item x="5140"/>
        <item x="5172"/>
        <item x="3350"/>
        <item x="5355"/>
        <item x="4885"/>
        <item x="3635"/>
        <item x="4260"/>
        <item x="2745"/>
        <item x="2716"/>
        <item x="1660"/>
        <item x="3082"/>
        <item x="1557"/>
        <item x="4687"/>
        <item x="318"/>
        <item x="2915"/>
        <item x="4556"/>
        <item x="4429"/>
        <item x="5320"/>
        <item x="4475"/>
        <item x="5219"/>
        <item x="5207"/>
        <item x="4927"/>
        <item x="4371"/>
        <item x="4988"/>
        <item x="216"/>
        <item x="3751"/>
        <item x="4975"/>
        <item x="4869"/>
        <item x="4947"/>
        <item x="351"/>
        <item x="5306"/>
        <item x="5228"/>
        <item x="1199"/>
        <item x="875"/>
        <item x="3192"/>
        <item x="3896"/>
        <item x="3824"/>
        <item x="5323"/>
        <item x="2837"/>
        <item x="3163"/>
        <item x="3560"/>
        <item x="1254"/>
        <item x="5349"/>
        <item x="5156"/>
        <item x="5314"/>
        <item x="5154"/>
        <item x="4444"/>
        <item x="5470"/>
        <item x="2389"/>
        <item x="5342"/>
        <item x="5005"/>
        <item x="4341"/>
        <item x="4162"/>
        <item x="2924"/>
        <item x="5334"/>
        <item x="5200"/>
        <item x="1533"/>
        <item x="4910"/>
        <item x="3318"/>
        <item x="1127"/>
        <item x="5276"/>
        <item x="1006"/>
        <item x="2649"/>
        <item x="4376"/>
        <item x="4713"/>
        <item x="5468"/>
        <item x="3682"/>
        <item x="3479"/>
        <item x="4759"/>
        <item x="2754"/>
        <item x="5239"/>
        <item x="5189"/>
        <item x="4837"/>
        <item x="2455"/>
        <item x="186"/>
        <item x="3791"/>
        <item x="4052"/>
        <item x="4572"/>
        <item x="5450"/>
        <item x="5397"/>
        <item x="4843"/>
        <item x="4382"/>
        <item x="728"/>
        <item x="4062"/>
        <item x="3798"/>
        <item x="3462"/>
        <item x="4472"/>
        <item x="4738"/>
        <item x="3023"/>
        <item x="3737"/>
        <item x="1829"/>
        <item x="4971"/>
        <item x="5455"/>
        <item x="3295"/>
        <item x="2766"/>
        <item x="5368"/>
        <item x="3076"/>
        <item x="4011"/>
        <item x="4740"/>
        <item x="5311"/>
        <item x="5280"/>
        <item x="5066"/>
        <item x="5333"/>
        <item x="5457"/>
        <item x="3173"/>
        <item x="5426"/>
        <item x="3252"/>
        <item x="3731"/>
        <item x="4614"/>
        <item x="5196"/>
        <item x="3285"/>
        <item x="5123"/>
        <item x="5374"/>
        <item x="4461"/>
        <item x="5183"/>
        <item x="4790"/>
        <item x="3117"/>
        <item x="3954"/>
        <item x="4673"/>
        <item x="3095"/>
        <item x="3310"/>
        <item x="4862"/>
        <item x="214"/>
        <item x="1964"/>
        <item x="2448"/>
        <item x="2273"/>
        <item x="5217"/>
        <item x="2981"/>
        <item x="4794"/>
        <item x="2872"/>
        <item x="4302"/>
        <item x="2245"/>
        <item x="4605"/>
        <item x="5266"/>
        <item x="5243"/>
        <item x="3862"/>
        <item x="4346"/>
        <item x="5444"/>
        <item x="2654"/>
        <item x="5295"/>
        <item x="2264"/>
        <item x="3029"/>
        <item x="4793"/>
        <item x="4684"/>
        <item x="4573"/>
        <item x="5404"/>
        <item x="3224"/>
        <item x="2342"/>
        <item x="3065"/>
        <item x="3920"/>
        <item x="5084"/>
        <item x="3722"/>
        <item x="3397"/>
        <item x="5226"/>
        <item x="2984"/>
        <item x="5415"/>
        <item x="5088"/>
        <item x="2391"/>
        <item x="5064"/>
        <item x="4791"/>
        <item x="3843"/>
        <item x="4935"/>
        <item x="5439"/>
        <item x="5009"/>
        <item x="5383"/>
        <item x="4826"/>
        <item x="3208"/>
        <item x="5346"/>
        <item x="515"/>
        <item x="3780"/>
        <item x="5364"/>
        <item x="5212"/>
        <item x="4877"/>
        <item x="5205"/>
        <item x="5288"/>
        <item x="5157"/>
        <item x="2688"/>
        <item x="4180"/>
        <item x="5192"/>
        <item x="2728"/>
        <item x="1792"/>
        <item x="2865"/>
        <item x="4307"/>
        <item x="4674"/>
        <item x="4956"/>
        <item x="3034"/>
        <item x="5161"/>
        <item x="3566"/>
        <item x="1509"/>
        <item x="4584"/>
        <item x="5100"/>
        <item x="1958"/>
        <item x="1633"/>
        <item x="4638"/>
        <item x="5062"/>
        <item x="5218"/>
        <item x="5012"/>
        <item x="4985"/>
        <item x="4214"/>
        <item x="4983"/>
        <item x="2948"/>
        <item x="3408"/>
        <item x="4940"/>
        <item x="1860"/>
        <item x="5379"/>
        <item x="5324"/>
        <item x="4178"/>
        <item x="86"/>
        <item x="5231"/>
        <item x="3130"/>
        <item x="5188"/>
        <item x="5269"/>
        <item x="3444"/>
        <item x="5201"/>
        <item x="5184"/>
        <item x="3298"/>
        <item x="357"/>
        <item x="4630"/>
        <item x="4709"/>
        <item x="4878"/>
        <item x="4921"/>
        <item x="4208"/>
        <item x="5037"/>
        <item x="5366"/>
        <item x="3501"/>
        <item x="4667"/>
        <item x="444"/>
        <item x="4051"/>
        <item x="5303"/>
        <item x="5127"/>
        <item x="149"/>
        <item x="1302"/>
        <item x="5440"/>
        <item x="4731"/>
        <item x="4442"/>
        <item x="4514"/>
        <item x="4493"/>
        <item x="3994"/>
        <item x="1085"/>
        <item x="5408"/>
        <item x="5166"/>
        <item x="2642"/>
        <item x="4804"/>
        <item x="5252"/>
        <item x="3477"/>
        <item x="4646"/>
        <item x="3577"/>
        <item x="3079"/>
        <item x="761"/>
        <item x="4309"/>
        <item x="4530"/>
        <item x="5059"/>
        <item x="2129"/>
        <item x="5000"/>
        <item x="1569"/>
        <item x="3992"/>
        <item x="121"/>
        <item x="4968"/>
        <item x="3528"/>
        <item x="2012"/>
        <item x="4582"/>
        <item x="5277"/>
        <item x="1789"/>
        <item x="2929"/>
        <item x="5090"/>
        <item x="1616"/>
        <item x="4144"/>
        <item x="4515"/>
        <item x="3089"/>
        <item x="4883"/>
        <item x="5418"/>
        <item x="5434"/>
        <item x="3214"/>
        <item x="2181"/>
        <item x="4236"/>
        <item x="4339"/>
        <item x="5220"/>
        <item x="757"/>
        <item x="4766"/>
        <item x="2606"/>
        <item x="5447"/>
        <item x="3866"/>
        <item x="4833"/>
        <item x="5391"/>
        <item x="5393"/>
        <item x="4958"/>
        <item x="3965"/>
        <item x="5168"/>
        <item x="280"/>
        <item x="4408"/>
        <item x="4913"/>
        <item x="3985"/>
        <item x="4725"/>
        <item x="4969"/>
        <item x="3043"/>
        <item x="5171"/>
        <item x="4600"/>
        <item x="4168"/>
        <item x="4331"/>
        <item x="5420"/>
        <item x="3808"/>
        <item x="193"/>
        <item x="4547"/>
        <item x="4920"/>
        <item x="4918"/>
        <item x="4379"/>
        <item x="4845"/>
        <item x="4360"/>
        <item x="4075"/>
        <item x="5149"/>
        <item x="5363"/>
        <item x="4852"/>
        <item x="1384"/>
        <item x="5474"/>
        <item x="5411"/>
        <item x="257"/>
        <item x="5267"/>
        <item x="4640"/>
        <item x="3847"/>
        <item x="5213"/>
        <item x="4291"/>
        <item x="4216"/>
        <item x="4644"/>
        <item x="2518"/>
        <item x="4849"/>
        <item x="4978"/>
        <item x="4112"/>
        <item x="4103"/>
        <item x="4773"/>
        <item x="5050"/>
        <item x="4939"/>
        <item x="2033"/>
        <item x="5073"/>
        <item x="4137"/>
        <item x="4068"/>
        <item x="4312"/>
        <item x="3707"/>
        <item x="3367"/>
        <item x="2825"/>
        <item x="2136"/>
        <item x="3287"/>
        <item x="5460"/>
        <item x="4989"/>
        <item x="4749"/>
        <item x="990"/>
        <item x="3395"/>
        <item x="5051"/>
        <item x="4621"/>
        <item x="4485"/>
        <item x="3629"/>
        <item x="5378"/>
        <item x="5321"/>
        <item x="4227"/>
        <item x="4704"/>
        <item x="5197"/>
        <item x="3863"/>
        <item x="2357"/>
        <item x="5301"/>
        <item x="4716"/>
        <item x="3156"/>
        <item x="2204"/>
        <item x="5182"/>
        <item x="4007"/>
        <item x="5024"/>
        <item x="4010"/>
        <item x="2141"/>
        <item x="2345"/>
        <item x="1327"/>
        <item x="4575"/>
        <item x="5419"/>
        <item x="4193"/>
        <item x="4894"/>
        <item x="4733"/>
        <item x="4489"/>
        <item x="4292"/>
        <item x="3910"/>
        <item x="5310"/>
        <item x="5338"/>
        <item x="3572"/>
        <item x="2955"/>
        <item x="3793"/>
        <item x="5371"/>
        <item x="3186"/>
        <item x="3385"/>
        <item x="2101"/>
        <item x="3003"/>
        <item x="1999"/>
        <item x="3860"/>
        <item x="5316"/>
        <item x="2879"/>
        <item x="5134"/>
        <item x="5278"/>
        <item x="4722"/>
        <item x="382"/>
        <item x="4650"/>
        <item x="5259"/>
        <item x="5270"/>
        <item x="620"/>
        <item x="2533"/>
        <item x="5458"/>
        <item x="4081"/>
        <item x="4742"/>
        <item x="5198"/>
        <item x="5214"/>
        <item x="4776"/>
        <item x="2819"/>
        <item x="881"/>
        <item x="5061"/>
        <item x="4636"/>
        <item x="5107"/>
        <item x="2452"/>
        <item x="4856"/>
        <item x="2257"/>
        <item x="4912"/>
        <item x="5167"/>
        <item x="3522"/>
        <item x="5210"/>
        <item x="1540"/>
        <item x="5036"/>
        <item x="4407"/>
        <item x="4419"/>
        <item x="3943"/>
        <item x="4991"/>
        <item x="3016"/>
        <item x="4626"/>
        <item x="5312"/>
        <item x="5461"/>
        <item x="4613"/>
        <item x="5385"/>
        <item x="4282"/>
        <item x="5079"/>
        <item x="3615"/>
        <item x="2154"/>
        <item x="5177"/>
        <item x="4122"/>
        <item x="1530"/>
        <item x="1239"/>
        <item x="643"/>
        <item x="4643"/>
        <item x="4113"/>
        <item x="4161"/>
        <item x="3957"/>
        <item x="4558"/>
        <item x="4689"/>
        <item x="5337"/>
        <item x="3264"/>
        <item x="4611"/>
        <item x="4959"/>
        <item x="5336"/>
        <item x="1526"/>
        <item x="2515"/>
        <item x="4919"/>
        <item x="4609"/>
        <item x="4930"/>
        <item x="3459"/>
        <item x="3868"/>
        <item x="5021"/>
        <item x="4367"/>
        <item x="4030"/>
        <item x="4905"/>
        <item x="2676"/>
        <item x="1902"/>
        <item x="4576"/>
        <item x="4482"/>
        <item x="5175"/>
        <item x="4473"/>
        <item x="4500"/>
        <item x="4266"/>
        <item x="1975"/>
        <item x="3337"/>
        <item x="4760"/>
        <item x="3134"/>
        <item x="3763"/>
        <item x="1314"/>
        <item x="1830"/>
        <item x="3710"/>
        <item x="5094"/>
        <item x="4678"/>
        <item x="5417"/>
        <item x="4624"/>
        <item x="4924"/>
        <item x="4328"/>
        <item x="5345"/>
        <item x="5081"/>
        <item x="4941"/>
        <item x="4691"/>
        <item x="5448"/>
        <item x="4397"/>
        <item x="4655"/>
        <item x="5010"/>
        <item x="4281"/>
        <item x="4463"/>
        <item x="4228"/>
        <item x="4783"/>
        <item x="2371"/>
        <item x="1293"/>
        <item x="5004"/>
        <item x="655"/>
        <item x="3556"/>
        <item x="1227"/>
        <item x="5110"/>
        <item x="3628"/>
        <item x="4432"/>
        <item x="3961"/>
        <item x="4970"/>
        <item x="5398"/>
        <item x="4462"/>
        <item x="4890"/>
        <item x="4864"/>
        <item x="3967"/>
        <item x="4620"/>
        <item x="2732"/>
        <item x="5040"/>
        <item x="4954"/>
        <item x="4669"/>
        <item x="4955"/>
        <item x="4435"/>
        <item x="4781"/>
        <item x="4942"/>
        <item x="2571"/>
        <item x="3565"/>
        <item x="3525"/>
        <item x="3996"/>
        <item x="2164"/>
        <item x="2883"/>
        <item x="3010"/>
        <item x="68"/>
        <item x="764"/>
        <item x="5016"/>
        <item x="679"/>
        <item x="5032"/>
        <item x="2582"/>
        <item x="511"/>
        <item x="3748"/>
        <item x="4827"/>
        <item x="5176"/>
        <item x="4976"/>
        <item x="4937"/>
        <item x="5392"/>
        <item x="4998"/>
        <item x="464"/>
        <item x="2208"/>
        <item x="4297"/>
        <item x="5165"/>
        <item x="2386"/>
        <item x="3449"/>
        <item x="5445"/>
        <item x="4779"/>
        <item x="3108"/>
        <item x="5258"/>
        <item x="4666"/>
        <item x="4870"/>
        <item x="4677"/>
        <item x="5387"/>
        <item x="1021"/>
        <item x="2433"/>
        <item x="3799"/>
        <item x="5388"/>
        <item x="5369"/>
        <item x="134"/>
        <item x="4980"/>
        <item x="3442"/>
        <item x="4551"/>
        <item x="4170"/>
        <item x="1357"/>
        <item x="4810"/>
        <item x="3195"/>
        <item x="4262"/>
        <item x="3547"/>
        <item x="887"/>
        <item x="3400"/>
        <item x="5307"/>
        <item x="3093"/>
        <item x="3341"/>
        <item x="5114"/>
        <item x="1956"/>
        <item x="5030"/>
        <item x="5375"/>
        <item x="205"/>
        <item x="4857"/>
        <item x="5244"/>
        <item x="1947"/>
        <item x="4860"/>
        <item x="4732"/>
        <item x="4561"/>
        <item x="711"/>
        <item x="4953"/>
        <item x="451"/>
        <item x="4842"/>
        <item x="5013"/>
        <item x="4872"/>
        <item x="5442"/>
        <item x="5060"/>
        <item x="1573"/>
        <item x="3592"/>
        <item x="1101"/>
        <item x="5414"/>
        <item x="4046"/>
        <item x="2973"/>
        <item x="4679"/>
        <item x="3601"/>
        <item x="1882"/>
        <item x="375"/>
        <item x="4780"/>
        <item x="4816"/>
        <item x="5441"/>
        <item x="4354"/>
        <item x="4836"/>
        <item x="3740"/>
        <item x="5045"/>
        <item x="293"/>
        <item x="1636"/>
        <item x="3913"/>
        <item x="1954"/>
        <item x="452"/>
        <item x="4769"/>
        <item x="1845"/>
        <item x="4700"/>
        <item x="4672"/>
        <item x="5354"/>
        <item x="4907"/>
        <item x="977"/>
        <item x="4911"/>
        <item x="1575"/>
        <item x="4892"/>
        <item x="4796"/>
        <item x="3873"/>
        <item x="5211"/>
        <item x="4819"/>
        <item x="2118"/>
        <item x="4770"/>
        <item x="5033"/>
        <item x="4973"/>
        <item x="4628"/>
        <item x="2143"/>
        <item x="5087"/>
        <item x="5344"/>
        <item x="4041"/>
        <item x="4541"/>
        <item x="3759"/>
        <item x="4064"/>
        <item x="3140"/>
        <item x="2333"/>
        <item x="4512"/>
        <item x="4627"/>
        <item x="4438"/>
        <item x="4259"/>
        <item x="1543"/>
        <item x="1007"/>
        <item x="4428"/>
        <item x="2457"/>
        <item x="3637"/>
        <item x="5279"/>
        <item x="5221"/>
        <item x="5044"/>
        <item x="4647"/>
        <item x="4393"/>
        <item x="5255"/>
        <item x="5095"/>
        <item x="3688"/>
        <item x="2332"/>
        <item x="4159"/>
        <item x="2655"/>
        <item x="4521"/>
        <item x="4084"/>
        <item x="674"/>
        <item x="5023"/>
        <item x="4550"/>
        <item x="461"/>
        <item x="4898"/>
        <item x="4598"/>
        <item x="3196"/>
        <item x="1513"/>
        <item x="4321"/>
        <item x="1788"/>
        <item x="3218"/>
        <item x="1654"/>
        <item x="3675"/>
        <item x="5297"/>
        <item x="1564"/>
        <item x="188"/>
        <item x="3778"/>
        <item x="5446"/>
        <item x="4657"/>
        <item x="5186"/>
        <item x="5257"/>
        <item x="405"/>
        <item x="5291"/>
        <item x="4635"/>
        <item x="3008"/>
        <item x="4897"/>
        <item x="3858"/>
        <item x="5083"/>
        <item x="1257"/>
        <item x="4660"/>
        <item x="4269"/>
        <item x="3672"/>
        <item x="1253"/>
        <item x="4855"/>
        <item x="4880"/>
        <item x="5384"/>
        <item x="5011"/>
        <item x="1086"/>
        <item x="4065"/>
        <item x="4821"/>
        <item x="5164"/>
        <item x="3472"/>
        <item x="1536"/>
        <item x="1850"/>
        <item x="2290"/>
        <item x="4114"/>
        <item x="4275"/>
        <item x="4934"/>
        <item x="819"/>
        <item x="3470"/>
        <item x="3711"/>
        <item x="3621"/>
        <item x="1677"/>
        <item x="4356"/>
        <item x="1990"/>
        <item x="3912"/>
        <item x="4706"/>
        <item x="3773"/>
        <item x="1544"/>
        <item x="4421"/>
        <item x="545"/>
        <item x="1047"/>
        <item x="4384"/>
        <item x="3775"/>
        <item x="2193"/>
        <item x="2495"/>
        <item x="5298"/>
        <item x="4177"/>
        <item x="4329"/>
        <item x="5318"/>
        <item x="4017"/>
        <item x="5233"/>
        <item x="3297"/>
        <item x="1287"/>
        <item x="4516"/>
        <item x="2625"/>
        <item x="5112"/>
        <item x="3925"/>
        <item x="3037"/>
        <item x="4848"/>
        <item x="4323"/>
        <item x="1700"/>
        <item x="4082"/>
        <item x="5261"/>
        <item x="2881"/>
        <item x="4424"/>
        <item x="3671"/>
        <item x="4344"/>
        <item x="4181"/>
        <item x="2073"/>
        <item x="3716"/>
        <item x="699"/>
        <item x="5119"/>
        <item x="3011"/>
        <item x="4774"/>
        <item x="5225"/>
        <item x="4590"/>
        <item x="3157"/>
        <item x="4537"/>
        <item x="3978"/>
        <item x="1179"/>
        <item x="2088"/>
        <item x="5305"/>
        <item x="3510"/>
        <item x="5105"/>
        <item x="1911"/>
        <item x="4915"/>
        <item x="3605"/>
        <item x="3273"/>
        <item x="4625"/>
        <item x="3904"/>
        <item x="4549"/>
        <item x="4996"/>
        <item x="4591"/>
        <item x="4385"/>
        <item x="4189"/>
        <item x="5454"/>
        <item x="4225"/>
        <item x="5327"/>
        <item x="4606"/>
        <item x="2068"/>
        <item x="4476"/>
        <item x="4436"/>
        <item x="4283"/>
        <item x="4441"/>
        <item x="5209"/>
        <item x="3575"/>
        <item x="3519"/>
        <item x="4728"/>
        <item x="5015"/>
        <item x="3194"/>
        <item x="2861"/>
        <item x="4745"/>
        <item x="4634"/>
        <item x="5170"/>
        <item x="3641"/>
        <item x="3727"/>
        <item x="5423"/>
        <item x="2497"/>
        <item x="4416"/>
        <item x="4763"/>
        <item x="5055"/>
        <item x="4036"/>
        <item x="5464"/>
        <item x="1785"/>
        <item x="607"/>
        <item x="4246"/>
        <item x="2637"/>
        <item x="4025"/>
        <item x="2893"/>
        <item x="3602"/>
        <item x="4712"/>
        <item x="798"/>
        <item x="3320"/>
        <item x="4197"/>
        <item x="4661"/>
        <item x="3190"/>
        <item x="3033"/>
        <item x="5475"/>
        <item x="4698"/>
        <item x="4239"/>
        <item x="4949"/>
        <item x="1689"/>
        <item x="5042"/>
        <item x="4811"/>
        <item x="4735"/>
        <item x="1269"/>
        <item x="3014"/>
        <item x="2715"/>
        <item x="1980"/>
        <item x="1940"/>
        <item x="2407"/>
        <item x="4686"/>
        <item x="4884"/>
        <item x="3820"/>
        <item x="5400"/>
        <item x="5272"/>
        <item x="5359"/>
        <item x="5353"/>
        <item x="5058"/>
        <item x="1927"/>
        <item x="2701"/>
        <item x="5431"/>
        <item x="4986"/>
        <item x="4850"/>
        <item x="5227"/>
        <item x="2691"/>
        <item x="3311"/>
        <item x="4729"/>
        <item x="2914"/>
        <item x="5433"/>
        <item x="3335"/>
        <item x="2430"/>
        <item x="4021"/>
        <item x="2051"/>
        <item x="3047"/>
        <item x="2508"/>
        <item x="4544"/>
        <item x="1799"/>
        <item x="5356"/>
        <item x="4597"/>
        <item x="3131"/>
        <item x="5019"/>
        <item x="2592"/>
        <item x="4141"/>
        <item x="4952"/>
        <item x="1307"/>
        <item x="4271"/>
        <item x="5340"/>
        <item x="2262"/>
        <item x="21"/>
        <item x="3446"/>
        <item x="5273"/>
        <item x="4437"/>
        <item x="5035"/>
        <item x="4639"/>
        <item x="3718"/>
        <item x="2695"/>
        <item x="1022"/>
        <item x="4067"/>
        <item x="5308"/>
        <item x="3199"/>
        <item x="5347"/>
        <item x="5339"/>
        <item x="5322"/>
        <item x="5357"/>
        <item x="4908"/>
        <item x="5399"/>
        <item x="3840"/>
        <item x="4719"/>
        <item x="4325"/>
        <item x="5076"/>
        <item x="3702"/>
        <item x="3786"/>
        <item x="241"/>
        <item x="4201"/>
        <item x="5372"/>
        <item x="4965"/>
        <item x="3261"/>
        <item x="3338"/>
        <item x="5003"/>
        <item x="5430"/>
        <item x="3362"/>
        <item x="4140"/>
        <item x="1892"/>
        <item x="4456"/>
        <item x="1144"/>
        <item x="5275"/>
        <item x="131"/>
        <item x="1009"/>
        <item x="4096"/>
        <item x="558"/>
        <item x="2567"/>
        <item x="507"/>
        <item x="385"/>
        <item x="1283"/>
        <item x="473"/>
        <item x="1457"/>
        <item x="198"/>
        <item x="2813"/>
        <item x="3473"/>
        <item x="1306"/>
        <item x="3696"/>
        <item x="81"/>
        <item x="1023"/>
        <item x="4893"/>
        <item x="1703"/>
        <item x="2017"/>
        <item x="3219"/>
        <item x="2903"/>
        <item x="630"/>
        <item x="2755"/>
        <item x="890"/>
        <item x="176"/>
        <item x="1115"/>
        <item x="249"/>
        <item x="690"/>
        <item x="3875"/>
        <item x="4265"/>
        <item x="4252"/>
        <item x="2944"/>
        <item x="3083"/>
        <item x="3487"/>
        <item x="1766"/>
        <item x="1288"/>
        <item x="1391"/>
        <item x="3516"/>
        <item x="2762"/>
        <item x="4539"/>
        <item x="2114"/>
        <item x="502"/>
        <item x="1512"/>
        <item x="4387"/>
        <item x="4812"/>
        <item x="1820"/>
        <item x="2350"/>
        <item x="476"/>
        <item x="3595"/>
        <item x="2867"/>
        <item x="1600"/>
        <item x="345"/>
        <item x="1778"/>
        <item x="3546"/>
        <item x="9"/>
        <item x="2643"/>
        <item x="3627"/>
        <item x="3475"/>
        <item x="3050"/>
        <item x="4483"/>
        <item x="4372"/>
        <item x="48"/>
        <item x="5109"/>
        <item x="4693"/>
        <item x="1570"/>
        <item x="3567"/>
        <item x="1489"/>
        <item x="2870"/>
        <item x="1920"/>
        <item x="138"/>
        <item x="2503"/>
        <item x="1074"/>
        <item x="58"/>
        <item x="284"/>
        <item x="75"/>
        <item x="570"/>
        <item x="3955"/>
        <item x="2681"/>
        <item x="1432"/>
        <item x="3058"/>
        <item x="2517"/>
        <item x="3102"/>
        <item x="1730"/>
        <item x="212"/>
        <item x="4671"/>
        <item x="62"/>
        <item x="244"/>
        <item x="3585"/>
        <item x="450"/>
        <item x="2900"/>
        <item x="1651"/>
        <item x="744"/>
        <item x="1069"/>
        <item x="2058"/>
        <item x="1027"/>
        <item x="4622"/>
        <item x="701"/>
        <item x="1191"/>
        <item x="3398"/>
        <item x="3541"/>
        <item x="1134"/>
        <item x="2244"/>
        <item x="2077"/>
        <item x="3662"/>
        <item x="1197"/>
        <item x="1250"/>
        <item x="1094"/>
        <item x="2834"/>
        <item x="4091"/>
        <item x="3236"/>
        <item x="2505"/>
        <item x="2081"/>
        <item x="1333"/>
        <item x="2394"/>
        <item x="2210"/>
        <item x="4148"/>
        <item x="185"/>
        <item x="1415"/>
        <item x="2370"/>
        <item x="2805"/>
        <item x="2862"/>
        <item x="3764"/>
        <item x="5153"/>
        <item x="724"/>
        <item x="1154"/>
        <item x="1185"/>
        <item x="3411"/>
        <item x="2401"/>
        <item x="4250"/>
        <item x="2004"/>
        <item x="1422"/>
        <item x="4426"/>
        <item x="762"/>
        <item x="2957"/>
        <item x="2247"/>
        <item x="174"/>
        <item x="3691"/>
        <item x="4764"/>
        <item x="41"/>
        <item x="2933"/>
        <item x="2145"/>
        <item x="459"/>
        <item x="2970"/>
        <item x="3956"/>
        <item x="2528"/>
        <item x="1080"/>
        <item x="2182"/>
        <item x="1538"/>
        <item x="2425"/>
        <item x="1783"/>
        <item x="1493"/>
        <item x="2476"/>
        <item x="14"/>
        <item x="4692"/>
        <item x="1900"/>
        <item x="1529"/>
        <item x="2424"/>
        <item x="855"/>
        <item x="3336"/>
        <item x="975"/>
        <item x="2025"/>
        <item x="2393"/>
        <item x="2234"/>
        <item x="1449"/>
        <item x="2671"/>
        <item x="1971"/>
        <item x="2871"/>
        <item x="2348"/>
        <item x="2325"/>
        <item x="2773"/>
        <item x="3176"/>
        <item x="4194"/>
        <item x="3584"/>
        <item x="1482"/>
        <item x="2520"/>
        <item x="1889"/>
        <item x="3488"/>
        <item x="1747"/>
        <item x="1090"/>
        <item x="979"/>
        <item x="4433"/>
        <item x="3392"/>
        <item x="847"/>
        <item x="2604"/>
        <item x="3000"/>
        <item x="4033"/>
        <item x="4499"/>
        <item x="856"/>
        <item x="2840"/>
        <item x="3713"/>
        <item x="4399"/>
        <item x="3290"/>
        <item x="944"/>
        <item x="495"/>
        <item x="2990"/>
        <item x="1477"/>
        <item x="585"/>
        <item x="158"/>
        <item x="2658"/>
        <item x="1787"/>
        <item x="612"/>
        <item x="1309"/>
        <item x="3825"/>
        <item x="1324"/>
        <item x="3600"/>
        <item x="4210"/>
        <item x="1842"/>
        <item x="3679"/>
        <item x="736"/>
        <item x="604"/>
        <item x="496"/>
        <item x="1215"/>
        <item x="1546"/>
        <item x="4491"/>
        <item x="1178"/>
        <item x="2953"/>
        <item x="2961"/>
        <item x="1029"/>
        <item x="1059"/>
        <item x="3377"/>
        <item x="4768"/>
        <item x="1585"/>
        <item x="3591"/>
        <item x="1861"/>
        <item x="1019"/>
        <item x="1962"/>
        <item x="892"/>
        <item x="687"/>
        <item x="162"/>
        <item x="262"/>
        <item x="2743"/>
        <item x="533"/>
        <item x="2656"/>
        <item x="6"/>
        <item x="242"/>
        <item x="3080"/>
        <item x="1281"/>
        <item x="2945"/>
        <item x="355"/>
        <item x="3837"/>
        <item x="3064"/>
        <item x="3049"/>
        <item x="3204"/>
        <item x="1397"/>
        <item x="927"/>
        <item x="2159"/>
        <item x="1231"/>
        <item x="1572"/>
        <item x="2079"/>
        <item x="824"/>
        <item x="4445"/>
        <item x="3603"/>
        <item x="3415"/>
        <item x="1067"/>
        <item x="3422"/>
        <item x="440"/>
        <item x="3888"/>
        <item x="2679"/>
        <item x="1750"/>
        <item x="456"/>
        <item x="4294"/>
        <item x="3342"/>
        <item x="2065"/>
        <item x="439"/>
        <item x="3272"/>
        <item x="3493"/>
        <item x="4589"/>
        <item x="2163"/>
        <item x="3343"/>
        <item x="486"/>
        <item x="1558"/>
        <item x="3818"/>
        <item x="2863"/>
        <item x="3819"/>
        <item x="4108"/>
        <item x="2963"/>
        <item x="3892"/>
        <item x="2943"/>
        <item x="77"/>
        <item x="160"/>
        <item x="2256"/>
        <item x="611"/>
        <item x="1461"/>
        <item x="2706"/>
        <item x="3503"/>
        <item x="4090"/>
        <item x="1895"/>
        <item x="2013"/>
        <item x="617"/>
        <item x="3300"/>
        <item x="416"/>
        <item x="419"/>
        <item x="1170"/>
        <item x="3508"/>
        <item x="1906"/>
        <item x="1116"/>
        <item x="3499"/>
        <item x="3617"/>
        <item x="3622"/>
        <item x="1456"/>
        <item x="3304"/>
        <item x="1322"/>
        <item x="1690"/>
        <item x="5096"/>
        <item x="1837"/>
        <item x="2070"/>
        <item x="2977"/>
        <item x="4637"/>
        <item x="3073"/>
        <item x="1338"/>
        <item x="994"/>
        <item x="528"/>
        <item x="810"/>
        <item x="3784"/>
        <item x="2987"/>
        <item x="1582"/>
        <item x="1152"/>
        <item x="1448"/>
        <item x="312"/>
        <item x="1440"/>
        <item x="1576"/>
        <item x="4903"/>
        <item x="4284"/>
        <item x="2774"/>
        <item x="2502"/>
        <item x="3167"/>
        <item x="3557"/>
        <item x="663"/>
        <item x="722"/>
        <item x="2561"/>
        <item x="69"/>
        <item x="978"/>
        <item x="2470"/>
        <item x="4950"/>
        <item x="3101"/>
        <item x="4653"/>
        <item x="3998"/>
        <item x="3838"/>
        <item x="1641"/>
        <item x="2138"/>
        <item x="2829"/>
        <item x="737"/>
        <item x="1646"/>
        <item x="1339"/>
        <item x="4502"/>
        <item x="3500"/>
        <item x="3620"/>
        <item x="4163"/>
        <item x="3365"/>
        <item x="2510"/>
        <item x="516"/>
        <item x="2677"/>
        <item x="2034"/>
        <item x="2170"/>
        <item x="1235"/>
        <item x="234"/>
        <item x="3817"/>
        <item x="2091"/>
        <item x="1229"/>
        <item x="1481"/>
        <item x="59"/>
        <item x="4109"/>
        <item x="1155"/>
        <item x="2422"/>
        <item x="3524"/>
        <item x="3770"/>
        <item x="2538"/>
        <item x="3122"/>
        <item x="2275"/>
        <item x="4015"/>
        <item x="2040"/>
        <item x="4832"/>
        <item x="85"/>
        <item x="1328"/>
        <item x="3497"/>
        <item x="1273"/>
        <item x="707"/>
        <item x="3717"/>
        <item x="721"/>
        <item x="1714"/>
        <item x="1279"/>
        <item x="211"/>
        <item x="322"/>
        <item x="4724"/>
        <item x="66"/>
        <item x="2490"/>
        <item x="3111"/>
        <item x="2810"/>
        <item x="3789"/>
        <item x="562"/>
        <item x="2144"/>
        <item x="1395"/>
        <item x="1104"/>
        <item x="383"/>
        <item x="992"/>
        <item x="1881"/>
        <item x="1099"/>
        <item x="1049"/>
        <item x="1217"/>
        <item x="17"/>
        <item x="3100"/>
        <item x="4326"/>
        <item x="65"/>
        <item x="2140"/>
        <item x="3165"/>
        <item x="910"/>
        <item x="2511"/>
        <item x="353"/>
        <item x="935"/>
        <item x="2928"/>
        <item x="1454"/>
        <item x="1359"/>
        <item x="183"/>
        <item x="920"/>
        <item x="2241"/>
        <item x="531"/>
        <item x="573"/>
        <item x="2519"/>
        <item x="4403"/>
        <item x="2939"/>
        <item x="4410"/>
        <item x="2173"/>
        <item x="3062"/>
        <item x="2111"/>
        <item x="3511"/>
        <item x="769"/>
        <item x="851"/>
        <item x="2467"/>
        <item x="3944"/>
        <item x="3410"/>
        <item x="1219"/>
        <item x="1874"/>
        <item x="653"/>
        <item x="527"/>
        <item x="2821"/>
        <item x="3898"/>
        <item x="812"/>
        <item x="1674"/>
        <item x="3425"/>
        <item x="2221"/>
        <item x="1647"/>
        <item x="1056"/>
        <item x="4823"/>
        <item x="465"/>
        <item x="3606"/>
        <item x="3394"/>
        <item x="4394"/>
        <item x="4212"/>
        <item x="3980"/>
        <item x="2212"/>
        <item x="3347"/>
        <item x="4789"/>
        <item x="4538"/>
        <item x="2989"/>
        <item x="4418"/>
        <item x="3756"/>
        <item x="4844"/>
        <item x="2946"/>
        <item x="1505"/>
        <item x="1001"/>
        <item x="3314"/>
        <item x="1907"/>
        <item x="391"/>
        <item x="1663"/>
        <item x="2739"/>
        <item x="2736"/>
        <item x="4276"/>
        <item x="635"/>
        <item x="4486"/>
        <item x="766"/>
        <item x="485"/>
        <item x="3583"/>
        <item x="366"/>
        <item x="2233"/>
        <item x="1102"/>
        <item x="1858"/>
        <item x="126"/>
        <item x="571"/>
        <item x="3254"/>
        <item x="3651"/>
        <item x="4593"/>
        <item x="3643"/>
        <item x="2110"/>
        <item x="2820"/>
        <item x="3177"/>
        <item x="3015"/>
        <item x="3694"/>
        <item x="3906"/>
        <item x="294"/>
        <item x="1041"/>
        <item x="3777"/>
        <item x="4478"/>
        <item x="2886"/>
        <item x="2218"/>
        <item x="3316"/>
        <item x="3879"/>
        <item x="697"/>
        <item x="4352"/>
        <item x="1657"/>
        <item x="3372"/>
        <item x="340"/>
        <item x="575"/>
        <item x="1917"/>
        <item x="1955"/>
        <item x="2692"/>
        <item x="4187"/>
        <item x="2596"/>
        <item x="3052"/>
        <item x="1587"/>
        <item x="3004"/>
        <item x="2852"/>
        <item x="4133"/>
        <item x="4143"/>
        <item x="1588"/>
        <item x="194"/>
        <item x="3650"/>
        <item x="3788"/>
        <item x="1659"/>
        <item x="3794"/>
        <item x="165"/>
        <item x="2710"/>
        <item x="163"/>
        <item x="3802"/>
        <item x="2235"/>
        <item x="1802"/>
        <item x="501"/>
        <item x="2536"/>
        <item x="1258"/>
        <item x="729"/>
        <item x="1016"/>
        <item x="1834"/>
        <item x="1665"/>
        <item x="1723"/>
        <item x="1831"/>
        <item x="589"/>
        <item x="4279"/>
        <item x="1855"/>
        <item x="2752"/>
        <item x="1393"/>
        <item x="1335"/>
        <item x="2891"/>
        <item x="2308"/>
        <item x="1051"/>
        <item x="173"/>
        <item x="1886"/>
        <item x="1768"/>
        <item x="3504"/>
        <item x="603"/>
        <item x="1547"/>
        <item x="4411"/>
        <item x="4124"/>
        <item x="328"/>
        <item x="2035"/>
        <item x="2826"/>
        <item x="859"/>
        <item x="939"/>
        <item x="2731"/>
        <item x="3217"/>
        <item x="1173"/>
        <item x="3081"/>
        <item x="1450"/>
        <item x="3581"/>
        <item x="949"/>
        <item x="3537"/>
        <item x="1894"/>
        <item x="2748"/>
        <item x="203"/>
        <item x="2117"/>
        <item x="1942"/>
        <item x="3697"/>
        <item x="2878"/>
        <item x="1539"/>
        <item x="1376"/>
        <item x="3841"/>
        <item x="1740"/>
        <item x="243"/>
        <item x="157"/>
        <item x="2381"/>
        <item x="2523"/>
        <item x="4102"/>
        <item x="2112"/>
        <item x="1284"/>
        <item x="406"/>
        <item x="539"/>
        <item x="4086"/>
        <item x="2331"/>
        <item x="1282"/>
        <item x="1247"/>
        <item x="358"/>
        <item x="2454"/>
        <item x="2549"/>
        <item x="942"/>
        <item x="1804"/>
        <item x="3391"/>
        <item x="128"/>
        <item x="2570"/>
        <item x="513"/>
        <item x="3025"/>
        <item x="5020"/>
        <item x="4594"/>
        <item x="1356"/>
        <item x="3569"/>
        <item x="2127"/>
        <item x="2659"/>
        <item x="4055"/>
        <item x="399"/>
        <item x="636"/>
        <item x="2180"/>
        <item x="143"/>
        <item x="1686"/>
        <item x="4152"/>
        <item x="3761"/>
        <item x="2229"/>
        <item x="633"/>
        <item x="2296"/>
        <item x="2053"/>
        <item x="4468"/>
        <item x="2337"/>
        <item x="1083"/>
        <item x="368"/>
        <item x="1266"/>
        <item x="4359"/>
        <item x="2078"/>
        <item x="2463"/>
        <item x="2093"/>
        <item x="869"/>
        <item x="2178"/>
        <item x="2373"/>
        <item x="4145"/>
        <item x="2054"/>
        <item x="4497"/>
        <item x="4120"/>
        <item x="4198"/>
        <item x="2449"/>
        <item x="2240"/>
        <item x="2899"/>
        <item x="2399"/>
        <item x="813"/>
        <item x="51"/>
        <item x="3055"/>
        <item x="250"/>
        <item x="2045"/>
        <item x="3742"/>
        <item x="1073"/>
        <item x="2199"/>
        <item x="3803"/>
        <item x="936"/>
        <item x="3670"/>
        <item x="751"/>
        <item x="3645"/>
        <item x="2726"/>
        <item x="3256"/>
        <item x="2543"/>
        <item x="256"/>
        <item x="246"/>
        <item x="871"/>
        <item x="1710"/>
        <item x="1308"/>
        <item x="1182"/>
        <item x="3543"/>
        <item x="2864"/>
        <item x="3284"/>
        <item x="3993"/>
        <item x="1024"/>
        <item x="360"/>
        <item x="667"/>
        <item x="2288"/>
        <item x="2494"/>
        <item x="2265"/>
        <item x="1401"/>
        <item x="3714"/>
        <item x="2602"/>
        <item x="93"/>
        <item x="4577"/>
        <item x="2884"/>
        <item x="2697"/>
        <item x="587"/>
        <item x="1504"/>
        <item x="551"/>
        <item x="2493"/>
        <item x="1527"/>
        <item x="521"/>
        <item x="1702"/>
        <item x="1498"/>
        <item x="2320"/>
        <item x="3103"/>
        <item x="3162"/>
        <item x="1427"/>
        <item x="3939"/>
        <item x="1742"/>
        <item x="2541"/>
        <item x="2910"/>
        <item x="2436"/>
        <item x="4694"/>
        <item x="2303"/>
        <item x="1752"/>
        <item x="893"/>
        <item x="100"/>
        <item x="2995"/>
        <item x="1325"/>
        <item x="3104"/>
        <item x="2926"/>
        <item x="4439"/>
        <item x="1699"/>
        <item x="3221"/>
        <item x="136"/>
        <item x="2934"/>
        <item x="2340"/>
        <item x="787"/>
        <item x="3366"/>
        <item x="1210"/>
        <item x="2409"/>
        <item x="4158"/>
        <item x="4680"/>
        <item x="1856"/>
        <item x="2442"/>
        <item x="1323"/>
        <item x="1571"/>
        <item x="3146"/>
        <item x="1455"/>
        <item x="2664"/>
        <item x="2175"/>
        <item x="4229"/>
        <item x="1923"/>
        <item x="1214"/>
        <item x="1608"/>
        <item x="4984"/>
        <item x="3469"/>
        <item x="267"/>
        <item x="1317"/>
        <item x="119"/>
        <item x="3306"/>
        <item x="3968"/>
        <item x="4287"/>
        <item x="4681"/>
        <item x="4217"/>
        <item x="3658"/>
        <item x="2123"/>
        <item x="3118"/>
        <item x="4349"/>
        <item x="2067"/>
        <item x="1781"/>
        <item x="4151"/>
        <item x="1870"/>
        <item x="4146"/>
        <item x="2122"/>
        <item x="3743"/>
        <item x="2947"/>
        <item x="407"/>
        <item x="3772"/>
        <item x="217"/>
        <item x="4840"/>
        <item x="156"/>
        <item x="985"/>
        <item x="413"/>
        <item x="4183"/>
        <item x="2285"/>
        <item x="951"/>
        <item x="613"/>
        <item x="1140"/>
        <item x="1751"/>
        <item x="1605"/>
        <item x="955"/>
        <item x="2427"/>
        <item x="3116"/>
        <item x="400"/>
        <item x="499"/>
        <item x="2802"/>
        <item x="1511"/>
        <item x="3164"/>
        <item x="4368"/>
        <item x="2274"/>
        <item x="3579"/>
        <item x="1591"/>
        <item x="2709"/>
        <item x="1908"/>
        <item x="3137"/>
        <item x="793"/>
        <item x="3309"/>
        <item x="2729"/>
        <item x="3976"/>
        <item x="716"/>
        <item x="872"/>
        <item x="4050"/>
        <item x="3376"/>
        <item x="4169"/>
        <item x="1761"/>
        <item x="4191"/>
        <item x="306"/>
        <item x="20"/>
        <item x="2216"/>
        <item x="3463"/>
        <item x="4498"/>
        <item x="3982"/>
        <item x="3294"/>
        <item x="1068"/>
        <item x="3626"/>
        <item x="3865"/>
        <item x="412"/>
        <item x="2174"/>
        <item x="463"/>
        <item x="1644"/>
        <item x="2949"/>
        <item x="3234"/>
        <item x="2043"/>
        <item x="1400"/>
        <item x="3405"/>
        <item x="22"/>
        <item x="677"/>
        <item x="436"/>
        <item x="3752"/>
        <item x="4043"/>
        <item x="832"/>
        <item x="2711"/>
        <item x="3667"/>
        <item x="4496"/>
        <item x="1491"/>
        <item x="2426"/>
        <item x="3352"/>
        <item x="1189"/>
        <item x="1606"/>
        <item x="3238"/>
        <item x="4002"/>
        <item x="710"/>
        <item x="218"/>
        <item x="3212"/>
        <item x="3744"/>
        <item x="3812"/>
        <item x="3333"/>
        <item x="2796"/>
        <item x="3461"/>
        <item x="53"/>
        <item x="866"/>
        <item x="1036"/>
        <item x="3553"/>
        <item x="1670"/>
        <item x="408"/>
        <item x="3302"/>
        <item x="1050"/>
        <item x="4049"/>
        <item x="1181"/>
        <item x="3849"/>
        <item x="1938"/>
        <item x="135"/>
        <item x="341"/>
        <item x="1550"/>
        <item x="44"/>
        <item x="3548"/>
        <item x="3618"/>
        <item x="2630"/>
        <item x="2902"/>
        <item x="2007"/>
        <item x="1366"/>
        <item x="1688"/>
        <item x="1912"/>
        <item x="317"/>
        <item x="657"/>
        <item x="2744"/>
        <item x="2771"/>
        <item x="3774"/>
        <item x="4618"/>
        <item x="3018"/>
        <item x="4747"/>
        <item x="3598"/>
        <item x="1926"/>
        <item x="3949"/>
        <item x="1821"/>
        <item x="2124"/>
        <item x="916"/>
        <item x="781"/>
        <item x="3797"/>
        <item x="3653"/>
        <item x="4022"/>
        <item x="4581"/>
        <item x="2621"/>
        <item x="2723"/>
        <item x="1028"/>
        <item x="3540"/>
        <item x="1100"/>
        <item x="4785"/>
        <item x="2761"/>
        <item x="225"/>
        <item x="3951"/>
        <item x="1092"/>
        <item x="4333"/>
        <item x="1315"/>
        <item x="1478"/>
        <item x="3282"/>
        <item x="3952"/>
        <item x="3655"/>
        <item x="3455"/>
        <item x="4505"/>
        <item x="3404"/>
        <item x="305"/>
        <item x="94"/>
        <item x="2369"/>
        <item x="3293"/>
        <item x="3855"/>
        <item x="1729"/>
        <item x="299"/>
        <item x="1960"/>
        <item x="1387"/>
        <item x="470"/>
        <item x="2532"/>
        <item x="4545"/>
        <item x="4243"/>
        <item x="4583"/>
        <item x="2482"/>
        <item x="1351"/>
        <item x="1749"/>
        <item x="1405"/>
        <item x="2750"/>
        <item x="4209"/>
        <item x="2843"/>
        <item x="4273"/>
        <item x="3031"/>
        <item x="3632"/>
        <item x="4289"/>
        <item x="2767"/>
        <item x="755"/>
        <item x="830"/>
        <item x="752"/>
        <item x="3307"/>
        <item x="490"/>
        <item x="1755"/>
        <item x="1446"/>
        <item x="3448"/>
        <item x="3999"/>
        <item x="3589"/>
        <item x="3384"/>
        <item x="1"/>
        <item x="1610"/>
        <item x="3078"/>
        <item x="3846"/>
        <item x="2329"/>
        <item x="3593"/>
        <item x="1782"/>
        <item x="2779"/>
        <item x="252"/>
        <item x="3107"/>
        <item x="4381"/>
        <item x="4019"/>
        <item x="266"/>
        <item x="1698"/>
        <item x="3458"/>
        <item x="673"/>
        <item x="2585"/>
        <item x="2107"/>
        <item x="3536"/>
        <item x="706"/>
        <item x="1111"/>
        <item x="4585"/>
        <item x="1419"/>
        <item x="3439"/>
        <item x="1903"/>
        <item x="1715"/>
        <item x="2137"/>
        <item x="3087"/>
        <item x="2368"/>
        <item x="1675"/>
        <item x="900"/>
        <item x="3002"/>
        <item x="1132"/>
        <item x="4308"/>
        <item x="2610"/>
        <item x="4866"/>
        <item x="719"/>
        <item x="3814"/>
        <item x="1000"/>
        <item x="4449"/>
        <item x="4717"/>
        <item x="2635"/>
        <item x="2488"/>
        <item x="1716"/>
        <item x="4060"/>
        <item x="2770"/>
        <item x="1135"/>
        <item x="1634"/>
        <item x="1628"/>
        <item x="1924"/>
        <item x="1407"/>
        <item x="3258"/>
        <item x="425"/>
        <item x="1011"/>
        <item x="2263"/>
        <item x="3356"/>
        <item x="4058"/>
        <item x="91"/>
        <item x="4931"/>
        <item x="2830"/>
        <item x="763"/>
        <item x="1433"/>
        <item x="372"/>
        <item x="4803"/>
        <item x="4345"/>
        <item x="2445"/>
        <item x="1502"/>
        <item x="3142"/>
        <item x="1304"/>
        <item x="5141"/>
        <item x="4405"/>
        <item x="3529"/>
        <item x="4018"/>
        <item x="912"/>
        <item x="2607"/>
        <item x="3686"/>
        <item x="1245"/>
        <item x="2568"/>
        <item x="685"/>
        <item x="4383"/>
        <item x="2028"/>
        <item x="1078"/>
        <item x="261"/>
        <item x="154"/>
        <item x="3061"/>
        <item x="2460"/>
        <item x="258"/>
        <item x="709"/>
        <item x="8"/>
        <item x="3624"/>
        <item x="772"/>
        <item x="1839"/>
        <item x="107"/>
        <item x="1922"/>
        <item x="4179"/>
        <item x="1705"/>
        <item x="1535"/>
        <item x="1877"/>
        <item x="3747"/>
        <item x="342"/>
        <item x="4542"/>
        <item x="801"/>
        <item x="3426"/>
        <item x="2006"/>
        <item x="2737"/>
        <item x="1082"/>
        <item x="3321"/>
        <item x="2888"/>
        <item x="2539"/>
        <item x="2207"/>
        <item x="3075"/>
        <item x="993"/>
        <item x="3005"/>
        <item x="4195"/>
        <item x="4800"/>
        <item x="95"/>
        <item x="78"/>
        <item x="4125"/>
        <item x="4801"/>
        <item x="1579"/>
        <item x="1853"/>
        <item x="3120"/>
        <item x="678"/>
        <item x="2339"/>
        <item x="3453"/>
        <item x="3870"/>
        <item x="3911"/>
        <item x="1484"/>
        <item x="3958"/>
        <item x="1487"/>
        <item x="3973"/>
        <item x="88"/>
        <item x="1460"/>
        <item x="2809"/>
        <item x="2278"/>
        <item x="1131"/>
        <item x="3813"/>
        <item x="97"/>
        <item x="3796"/>
        <item x="2039"/>
        <item x="3647"/>
        <item x="957"/>
        <item x="1562"/>
        <item x="1125"/>
        <item x="3126"/>
        <item x="2213"/>
        <item x="3989"/>
        <item x="4290"/>
        <item x="4928"/>
        <item x="308"/>
        <item x="1462"/>
        <item x="2687"/>
        <item x="362"/>
        <item x="664"/>
        <item x="2992"/>
        <item x="1473"/>
        <item x="1221"/>
        <item x="3202"/>
        <item x="4895"/>
        <item x="600"/>
        <item x="2171"/>
        <item x="2152"/>
        <item x="3020"/>
        <item x="1748"/>
        <item x="3315"/>
        <item x="4249"/>
        <item x="2559"/>
        <item x="3393"/>
        <item x="4131"/>
        <item x="319"/>
        <item x="1786"/>
        <item x="2772"/>
        <item x="370"/>
        <item x="1410"/>
        <item x="4806"/>
        <item x="1611"/>
        <item x="2289"/>
        <item x="2874"/>
        <item x="1623"/>
        <item x="3084"/>
        <item x="1098"/>
        <item x="2936"/>
        <item x="1905"/>
        <item x="111"/>
        <item x="3530"/>
        <item x="1112"/>
        <item x="3926"/>
        <item x="79"/>
        <item x="1236"/>
        <item x="3135"/>
        <item x="2792"/>
        <item x="2650"/>
        <item x="1196"/>
        <item x="4134"/>
        <item x="3184"/>
        <item x="3181"/>
        <item x="3517"/>
        <item x="4612"/>
        <item x="3433"/>
        <item x="2812"/>
        <item x="1739"/>
        <item x="2917"/>
        <item x="1549"/>
        <item x="891"/>
        <item x="155"/>
        <item x="2978"/>
        <item x="3767"/>
        <item x="2994"/>
        <item x="1762"/>
        <item x="3562"/>
        <item x="1089"/>
        <item x="2030"/>
        <item x="1692"/>
        <item x="2191"/>
        <item x="3570"/>
        <item x="3836"/>
        <item x="4922"/>
        <item x="834"/>
        <item x="2932"/>
        <item x="913"/>
        <item x="2084"/>
        <item x="639"/>
        <item x="1825"/>
        <item x="70"/>
        <item x="2851"/>
        <item x="2246"/>
        <item x="2489"/>
        <item x="2587"/>
        <item x="1311"/>
        <item x="213"/>
        <item x="2563"/>
        <item x="401"/>
        <item x="2187"/>
        <item x="4702"/>
        <item x="1375"/>
        <item x="3063"/>
        <item x="2703"/>
        <item x="3237"/>
        <item x="791"/>
        <item x="10"/>
        <item x="2930"/>
        <item x="1784"/>
        <item x="1635"/>
        <item x="4176"/>
        <item x="1390"/>
        <item x="4808"/>
        <item x="1791"/>
        <item x="1230"/>
        <item x="497"/>
        <item x="307"/>
        <item x="1118"/>
        <item x="4299"/>
        <item x="1910"/>
        <item x="3317"/>
        <item x="1398"/>
        <item x="1120"/>
        <item x="1394"/>
        <item x="2794"/>
        <item x="2486"/>
        <item x="782"/>
        <item x="803"/>
        <item x="3886"/>
        <item x="713"/>
        <item x="3035"/>
        <item x="945"/>
        <item x="2464"/>
        <item x="1159"/>
        <item x="4171"/>
        <item x="627"/>
        <item x="2576"/>
        <item x="3220"/>
        <item x="799"/>
        <item x="3719"/>
        <item x="696"/>
        <item x="3328"/>
        <item x="3919"/>
        <item x="4645"/>
        <item x="1097"/>
        <item x="3106"/>
        <item x="4527"/>
        <item x="1087"/>
        <item x="852"/>
        <item x="4203"/>
        <item x="233"/>
        <item x="3413"/>
        <item x="1434"/>
        <item x="4623"/>
        <item x="2461"/>
        <item x="1310"/>
        <item x="2768"/>
        <item x="682"/>
        <item x="1200"/>
        <item x="552"/>
        <item x="475"/>
        <item x="1687"/>
        <item x="1192"/>
        <item x="2913"/>
        <item x="1846"/>
        <item x="2722"/>
        <item x="1471"/>
        <item x="3839"/>
        <item x="1429"/>
        <item x="4562"/>
        <item x="431"/>
        <item x="2579"/>
        <item x="1869"/>
        <item x="4972"/>
        <item x="4204"/>
        <item x="125"/>
        <item x="739"/>
        <item x="2417"/>
        <item x="658"/>
        <item x="2785"/>
        <item x="1625"/>
        <item x="2836"/>
        <item x="853"/>
        <item x="2048"/>
        <item x="4174"/>
        <item x="564"/>
        <item x="4238"/>
        <item x="2225"/>
        <item x="2306"/>
        <item x="3765"/>
        <item x="236"/>
        <item x="2404"/>
        <item x="602"/>
        <item x="4578"/>
        <item x="1143"/>
        <item x="1713"/>
        <item x="4778"/>
        <item x="239"/>
        <item x="665"/>
        <item x="876"/>
        <item x="3721"/>
        <item x="3549"/>
        <item x="469"/>
        <item x="159"/>
        <item x="2027"/>
        <item x="2189"/>
        <item x="4248"/>
        <item x="1381"/>
        <item x="3729"/>
        <item x="506"/>
        <item x="1553"/>
        <item x="1951"/>
        <item x="418"/>
        <item x="3887"/>
        <item x="491"/>
        <item x="30"/>
        <item x="4241"/>
        <item x="735"/>
        <item x="2106"/>
        <item x="3127"/>
        <item x="4240"/>
        <item x="2653"/>
        <item x="831"/>
        <item x="2783"/>
        <item x="433"/>
        <item x="1835"/>
        <item x="1012"/>
        <item x="715"/>
        <item x="1095"/>
        <item x="238"/>
        <item x="3390"/>
        <item x="1137"/>
        <item x="1559"/>
        <item x="828"/>
        <item x="2055"/>
        <item x="2335"/>
        <item x="3683"/>
        <item x="3834"/>
        <item x="2363"/>
        <item x="142"/>
        <item x="393"/>
        <item x="879"/>
        <item x="4458"/>
        <item x="3019"/>
        <item x="37"/>
        <item x="574"/>
        <item x="3660"/>
        <item x="3012"/>
        <item x="4293"/>
        <item x="2700"/>
        <item x="641"/>
        <item x="1763"/>
        <item x="3730"/>
        <item x="195"/>
        <item x="3155"/>
        <item x="42"/>
        <item x="634"/>
        <item x="1613"/>
        <item x="3619"/>
        <item x="2833"/>
        <item x="1142"/>
        <item x="387"/>
        <item x="3281"/>
        <item x="605"/>
        <item x="1084"/>
        <item x="3266"/>
        <item x="1122"/>
        <item x="2814"/>
        <item x="2268"/>
        <item x="1194"/>
        <item x="2972"/>
        <item x="4378"/>
        <item x="2395"/>
        <item x="3077"/>
        <item x="1295"/>
        <item x="4037"/>
        <item x="1438"/>
        <item x="3962"/>
        <item x="4026"/>
        <item x="1353"/>
        <item x="1065"/>
        <item x="189"/>
        <item x="3762"/>
        <item x="1568"/>
        <item x="3576"/>
        <item x="2341"/>
        <item x="1813"/>
        <item x="1650"/>
        <item x="4087"/>
        <item x="1151"/>
        <item x="670"/>
        <item x="392"/>
        <item x="2858"/>
        <item x="2062"/>
        <item x="4110"/>
        <item x="4873"/>
        <item x="3292"/>
        <item x="2270"/>
        <item x="4335"/>
        <item x="4185"/>
        <item x="586"/>
        <item x="2469"/>
        <item x="432"/>
        <item x="691"/>
        <item x="2390"/>
        <item x="4008"/>
        <item x="2414"/>
        <item x="2376"/>
        <item x="1988"/>
        <item x="2962"/>
        <item x="2614"/>
        <item x="275"/>
        <item x="3903"/>
        <item x="2911"/>
        <item x="4513"/>
        <item x="3656"/>
        <item x="4586"/>
        <item x="2032"/>
        <item x="2267"/>
        <item x="3492"/>
        <item x="3143"/>
        <item x="3580"/>
        <item x="2524"/>
        <item x="1939"/>
        <item x="2905"/>
        <item x="1198"/>
        <item x="3178"/>
        <item x="3674"/>
        <item x="1668"/>
        <item x="3639"/>
        <item x="2906"/>
        <item x="4967"/>
        <item x="3231"/>
        <item x="330"/>
        <item x="2203"/>
        <item x="3486"/>
        <item x="1004"/>
        <item x="2243"/>
        <item x="2115"/>
        <item x="462"/>
        <item x="4029"/>
        <item x="3848"/>
        <item x="3417"/>
        <item x="2420"/>
        <item x="908"/>
        <item x="73"/>
        <item x="255"/>
        <item x="1812"/>
        <item x="1542"/>
        <item x="1163"/>
        <item x="4347"/>
        <item x="4395"/>
        <item x="2437"/>
        <item x="4079"/>
        <item x="3222"/>
        <item x="659"/>
        <item x="4038"/>
        <item x="448"/>
        <item x="1790"/>
        <item x="2859"/>
        <item x="3268"/>
        <item x="2509"/>
        <item x="649"/>
        <item x="3148"/>
        <item x="1823"/>
        <item x="3921"/>
        <item x="2276"/>
        <item x="2197"/>
        <item x="2071"/>
        <item x="1872"/>
        <item x="2956"/>
        <item x="5007"/>
        <item x="1580"/>
        <item x="1943"/>
        <item x="4377"/>
        <item x="2281"/>
        <item x="3098"/>
        <item x="4470"/>
        <item x="700"/>
        <item x="168"/>
        <item x="823"/>
        <item x="644"/>
        <item x="2441"/>
        <item x="2594"/>
        <item x="1993"/>
        <item x="1594"/>
        <item x="1408"/>
        <item x="253"/>
        <item x="4107"/>
        <item x="4350"/>
        <item x="3907"/>
        <item x="889"/>
        <item x="2365"/>
        <item x="2169"/>
        <item x="1501"/>
        <item x="1079"/>
        <item x="2501"/>
        <item x="877"/>
        <item x="2680"/>
        <item x="4211"/>
        <item x="914"/>
        <item x="1552"/>
        <item x="3160"/>
        <item x="775"/>
        <item x="4155"/>
        <item x="1929"/>
        <item x="2269"/>
        <item x="3344"/>
        <item x="1439"/>
        <item x="965"/>
        <item x="731"/>
        <item x="4807"/>
        <item x="1746"/>
        <item x="1517"/>
        <item x="326"/>
        <item x="2377"/>
        <item x="1890"/>
        <item x="4642"/>
        <item x="1213"/>
        <item x="3193"/>
        <item x="2753"/>
        <item x="373"/>
        <item x="747"/>
        <item x="583"/>
        <item x="4467"/>
        <item x="1619"/>
        <item x="26"/>
        <item x="2121"/>
        <item x="578"/>
        <item x="3574"/>
        <item x="1672"/>
        <item x="1042"/>
        <item x="335"/>
        <item x="3027"/>
        <item x="4831"/>
        <item x="1299"/>
        <item x="3348"/>
        <item x="2725"/>
        <item x="2803"/>
        <item x="1105"/>
        <item x="3066"/>
        <item x="3223"/>
        <item x="3795"/>
        <item x="1402"/>
        <item x="2161"/>
        <item x="1621"/>
        <item x="344"/>
        <item x="4477"/>
        <item x="2219"/>
        <item x="2540"/>
        <item x="4595"/>
        <item x="232"/>
        <item x="2361"/>
        <item x="4172"/>
        <item x="2609"/>
        <item x="2215"/>
        <item x="4322"/>
        <item x="2362"/>
        <item x="671"/>
        <item x="3053"/>
        <item x="2657"/>
        <item x="702"/>
        <item x="3542"/>
        <item x="2760"/>
        <item x="1107"/>
        <item x="1769"/>
        <item x="3809"/>
        <item x="4001"/>
        <item x="4380"/>
        <item x="1795"/>
        <item x="4741"/>
        <item x="1346"/>
        <item x="5097"/>
        <item x="4517"/>
        <item x="976"/>
        <item x="302"/>
        <item x="339"/>
        <item x="3882"/>
        <item x="152"/>
        <item x="2254"/>
        <item x="3975"/>
        <item x="4929"/>
        <item x="1412"/>
        <item x="623"/>
        <item x="3805"/>
        <item x="4268"/>
        <item x="2986"/>
        <item x="3758"/>
        <item x="5017"/>
        <item x="1496"/>
        <item x="1620"/>
        <item x="1852"/>
        <item x="1088"/>
        <item x="1117"/>
        <item x="2323"/>
        <item x="4355"/>
        <item x="3432"/>
        <item x="3115"/>
        <item x="743"/>
        <item x="3474"/>
        <item x="3550"/>
        <item x="4563"/>
        <item x="4324"/>
        <item x="4053"/>
        <item x="2020"/>
        <item x="1968"/>
        <item x="1724"/>
        <item x="321"/>
        <item x="4272"/>
        <item x="1941"/>
        <item x="3430"/>
        <item x="2400"/>
        <item x="2769"/>
        <item x="2429"/>
        <item x="4401"/>
        <item x="1974"/>
        <item x="4270"/>
        <item x="742"/>
        <item x="458"/>
        <item x="483"/>
        <item x="222"/>
        <item x="4332"/>
        <item x="4363"/>
        <item x="2727"/>
        <item x="2740"/>
        <item x="1054"/>
        <item x="329"/>
        <item x="2231"/>
        <item x="3703"/>
        <item x="4028"/>
        <item x="3226"/>
        <item x="2967"/>
        <item x="4546"/>
        <item x="2052"/>
        <item x="553"/>
        <item x="3313"/>
        <item x="390"/>
        <item x="1488"/>
        <item x="4465"/>
        <item x="3983"/>
        <item x="2086"/>
        <item x="4100"/>
        <item x="1218"/>
        <item x="790"/>
        <item x="3478"/>
        <item x="4078"/>
        <item x="2405"/>
        <item x="740"/>
        <item x="3421"/>
        <item x="4230"/>
        <item x="4330"/>
        <item x="628"/>
        <item x="276"/>
        <item x="56"/>
        <item x="2927"/>
        <item x="998"/>
        <item x="1334"/>
        <item x="1966"/>
        <item x="1867"/>
        <item x="3728"/>
        <item x="999"/>
        <item x="3334"/>
        <item x="596"/>
        <item x="2622"/>
        <item x="3867"/>
        <item x="4454"/>
        <item x="1671"/>
        <item x="1887"/>
        <item x="477"/>
        <item x="2324"/>
        <item x="4255"/>
        <item x="2684"/>
        <item x="2738"/>
        <item x="956"/>
        <item x="455"/>
        <item x="629"/>
        <item x="1332"/>
        <item x="3232"/>
        <item x="3573"/>
        <item x="1994"/>
        <item x="3419"/>
        <item x="2778"/>
        <item x="3179"/>
        <item x="650"/>
        <item x="2119"/>
        <item x="576"/>
        <item x="3360"/>
        <item x="3036"/>
        <item x="2674"/>
        <item x="207"/>
        <item x="2162"/>
        <item x="1445"/>
        <item x="116"/>
        <item x="4296"/>
        <item x="2185"/>
        <item x="3852"/>
        <item x="2855"/>
        <item x="4633"/>
        <item x="1595"/>
        <item x="3877"/>
        <item x="1411"/>
        <item x="2938"/>
        <item x="1017"/>
        <item x="301"/>
        <item x="3801"/>
        <item x="3539"/>
        <item x="968"/>
        <item x="281"/>
        <item x="331"/>
        <item x="1382"/>
        <item x="1262"/>
        <item x="4301"/>
        <item x="1978"/>
        <item x="4129"/>
        <item x="2925"/>
        <item x="2892"/>
        <item x="1147"/>
        <item x="3687"/>
        <item x="3971"/>
        <item x="1984"/>
        <item x="2960"/>
        <item x="2450"/>
        <item x="2398"/>
        <item x="348"/>
        <item x="753"/>
        <item x="82"/>
        <item x="1244"/>
        <item x="2239"/>
        <item x="541"/>
        <item x="3249"/>
        <item x="1757"/>
        <item x="7"/>
        <item x="1367"/>
        <item x="886"/>
        <item x="3119"/>
        <item x="2439"/>
        <item x="480"/>
        <item x="3180"/>
        <item x="4202"/>
        <item x="1347"/>
        <item x="3345"/>
        <item x="192"/>
        <item x="2466"/>
        <item x="190"/>
        <item x="4004"/>
        <item x="1518"/>
        <item x="2506"/>
        <item x="4000"/>
        <item x="4315"/>
        <item x="3604"/>
        <item x="1883"/>
        <item x="295"/>
        <item x="33"/>
        <item x="3441"/>
        <item x="2302"/>
        <item x="1728"/>
        <item x="191"/>
        <item x="4557"/>
        <item x="3129"/>
        <item x="3987"/>
        <item x="2636"/>
        <item x="3811"/>
        <item x="144"/>
        <item x="3869"/>
        <item x="3451"/>
        <item x="2556"/>
        <item x="4317"/>
        <item x="2530"/>
        <item x="2019"/>
        <item x="820"/>
        <item x="3041"/>
        <item x="1201"/>
        <item x="1928"/>
        <item x="3596"/>
        <item x="2860"/>
        <item x="4683"/>
        <item x="2196"/>
        <item x="1424"/>
        <item x="3844"/>
        <item x="304"/>
        <item x="2202"/>
        <item x="1664"/>
        <item x="3483"/>
        <item x="2634"/>
        <item x="4532"/>
        <item x="4434"/>
        <item x="1935"/>
        <item x="333"/>
        <item x="1263"/>
        <item x="2841"/>
        <item x="572"/>
        <item x="2816"/>
        <item x="180"/>
        <item x="2227"/>
        <item x="608"/>
        <item x="2832"/>
        <item x="1265"/>
        <item x="1241"/>
        <item x="809"/>
        <item x="4753"/>
        <item x="200"/>
        <item x="104"/>
        <item x="848"/>
        <item x="2066"/>
        <item x="3914"/>
        <item x="2694"/>
        <item x="1669"/>
        <item x="2581"/>
        <item x="2315"/>
        <item x="2060"/>
        <item x="2940"/>
        <item x="313"/>
        <item x="839"/>
        <item x="862"/>
        <item x="2751"/>
        <item x="2456"/>
        <item x="4245"/>
        <item x="4522"/>
        <item x="210"/>
        <item x="525"/>
        <item x="1480"/>
        <item x="421"/>
        <item x="3386"/>
        <item x="850"/>
        <item x="1969"/>
        <item x="3288"/>
        <item x="3853"/>
        <item x="1301"/>
        <item x="774"/>
        <item x="4858"/>
        <item x="3057"/>
        <item x="117"/>
        <item x="4688"/>
        <item x="3482"/>
        <item x="4253"/>
        <item x="4555"/>
        <item x="1431"/>
        <item x="2359"/>
        <item x="3515"/>
        <item x="4342"/>
        <item x="5116"/>
        <item x="1722"/>
        <item x="2299"/>
        <item x="4233"/>
        <item x="2462"/>
        <item x="2064"/>
        <item x="614"/>
        <item x="3286"/>
        <item x="1970"/>
        <item x="4175"/>
        <item x="2166"/>
        <item x="504"/>
        <item x="2434"/>
        <item x="4839"/>
        <item x="3283"/>
        <item x="4320"/>
        <item x="2646"/>
        <item x="3816"/>
        <item x="3149"/>
        <item x="2895"/>
        <item x="4213"/>
        <item x="2319"/>
        <item x="1655"/>
        <item x="4220"/>
        <item x="2036"/>
        <item x="272"/>
        <item x="1577"/>
        <item x="2076"/>
        <item x="2388"/>
        <item x="4014"/>
        <item x="4054"/>
        <item x="361"/>
        <item x="662"/>
        <item x="13"/>
        <item x="2428"/>
        <item x="1031"/>
        <item x="1005"/>
        <item x="3456"/>
        <item x="123"/>
        <item x="1590"/>
        <item x="959"/>
        <item x="1679"/>
        <item x="556"/>
        <item x="732"/>
        <item x="426"/>
        <item x="3247"/>
        <item x="1603"/>
        <item x="1216"/>
        <item x="3984"/>
        <item x="3513"/>
        <item x="3634"/>
        <item x="2157"/>
        <item x="4809"/>
        <item x="2307"/>
        <item x="1857"/>
        <item x="555"/>
        <item x="579"/>
        <item x="2283"/>
        <item x="3673"/>
        <item x="1475"/>
        <item x="565"/>
        <item x="538"/>
        <item x="4559"/>
        <item x="124"/>
        <item x="2735"/>
        <item x="1145"/>
        <item x="2683"/>
        <item x="1365"/>
        <item x="1718"/>
        <item x="3531"/>
        <item x="2304"/>
        <item x="167"/>
        <item x="3096"/>
        <item x="1352"/>
        <item x="1896"/>
        <item x="1638"/>
        <item x="2387"/>
        <item x="2061"/>
        <item x="1826"/>
        <item x="3588"/>
        <item x="2969"/>
        <item x="1386"/>
        <item x="3609"/>
        <item x="546"/>
        <item x="833"/>
        <item x="2292"/>
        <item x="1528"/>
        <item x="3735"/>
        <item x="2432"/>
        <item x="797"/>
        <item x="897"/>
        <item x="31"/>
        <item x="2689"/>
        <item x="544"/>
        <item x="3901"/>
        <item x="2226"/>
        <item x="4012"/>
        <item x="3931"/>
        <item x="3322"/>
        <item x="2601"/>
        <item x="2255"/>
        <item x="3040"/>
        <item x="4402"/>
        <item x="2652"/>
        <item x="489"/>
        <item x="310"/>
        <item x="509"/>
        <item x="1817"/>
        <item x="4508"/>
        <item x="767"/>
        <item x="2675"/>
        <item x="759"/>
        <item x="1532"/>
        <item x="2475"/>
        <item x="554"/>
        <item x="2280"/>
        <item x="1807"/>
        <item x="1071"/>
        <item x="27"/>
        <item x="4032"/>
        <item x="3481"/>
        <item x="2049"/>
        <item x="3709"/>
        <item x="2310"/>
        <item x="202"/>
        <item x="3068"/>
        <item x="2184"/>
        <item x="3895"/>
        <item x="137"/>
        <item x="4061"/>
        <item x="1172"/>
        <item x="996"/>
        <item x="175"/>
        <item x="2854"/>
        <item x="2788"/>
        <item x="817"/>
        <item x="2839"/>
        <item x="1736"/>
        <item x="2378"/>
        <item x="1138"/>
        <item x="883"/>
        <item x="484"/>
        <item x="3681"/>
        <item x="3970"/>
        <item x="1862"/>
        <item x="1631"/>
        <item x="3210"/>
        <item x="3233"/>
        <item x="3440"/>
        <item x="514"/>
        <item x="2793"/>
        <item x="4156"/>
        <item x="3781"/>
        <item x="363"/>
        <item x="519"/>
        <item x="332"/>
        <item x="446"/>
        <item x="1010"/>
        <item x="1627"/>
        <item x="588"/>
        <item x="3246"/>
        <item x="1183"/>
        <item x="3038"/>
        <item x="1153"/>
        <item x="4093"/>
        <item x="1248"/>
        <item x="1150"/>
        <item x="1987"/>
        <item x="3088"/>
        <item x="2343"/>
        <item x="105"/>
        <item x="374"/>
        <item x="591"/>
        <item x="4274"/>
        <item x="3900"/>
        <item x="3608"/>
        <item x="2817"/>
        <item x="1685"/>
        <item x="2974"/>
        <item x="656"/>
        <item x="2056"/>
        <item x="961"/>
        <item x="2756"/>
        <item x="1777"/>
        <item x="3201"/>
        <item x="354"/>
        <item x="1743"/>
        <item x="4348"/>
        <item x="1392"/>
        <item x="2142"/>
        <item x="3166"/>
        <item x="3090"/>
        <item x="568"/>
        <item x="3745"/>
        <item x="208"/>
        <item x="592"/>
        <item x="2148"/>
        <item x="2147"/>
        <item x="997"/>
        <item x="606"/>
        <item x="3054"/>
        <item x="1161"/>
        <item x="1694"/>
        <item x="958"/>
        <item x="2037"/>
        <item x="1957"/>
        <item x="566"/>
        <item x="32"/>
        <item x="2194"/>
        <item x="4182"/>
        <item x="4455"/>
        <item x="347"/>
        <item x="4464"/>
        <item x="524"/>
        <item x="1843"/>
        <item x="4231"/>
        <item x="5"/>
        <item x="1773"/>
        <item x="1996"/>
        <item x="640"/>
        <item x="2059"/>
        <item x="3044"/>
        <item x="1081"/>
        <item x="581"/>
        <item x="590"/>
        <item x="2444"/>
        <item x="3534"/>
        <item x="3859"/>
        <item x="245"/>
        <item x="1063"/>
        <item x="2626"/>
        <item x="1180"/>
        <item x="3228"/>
        <item x="593"/>
        <item x="224"/>
        <item x="4013"/>
        <item x="1222"/>
        <item x="845"/>
        <item x="1901"/>
        <item x="1678"/>
        <item x="3396"/>
        <item x="4104"/>
        <item x="2087"/>
        <item x="2985"/>
        <item x="3942"/>
        <item x="703"/>
        <item x="1848"/>
        <item x="2277"/>
        <item x="2937"/>
        <item x="84"/>
        <item x="2002"/>
        <item x="3363"/>
        <item x="1148"/>
        <item x="1246"/>
        <item x="921"/>
        <item x="1146"/>
        <item x="1242"/>
        <item x="3940"/>
        <item x="4580"/>
        <item x="1936"/>
        <item x="3948"/>
        <item x="1563"/>
        <item x="4404"/>
        <item x="2316"/>
        <item x="2321"/>
        <item x="3128"/>
        <item x="199"/>
        <item x="1816"/>
        <item x="101"/>
        <item x="2513"/>
        <item x="4374"/>
        <item x="1336"/>
        <item x="681"/>
        <item x="1256"/>
        <item x="1809"/>
        <item x="2815"/>
        <item x="2909"/>
        <item x="3331"/>
        <item x="1162"/>
        <item x="3922"/>
        <item x="365"/>
        <item x="1158"/>
        <item x="1899"/>
        <item x="1437"/>
        <item x="2690"/>
        <item x="788"/>
        <item x="1637"/>
        <item x="2287"/>
        <item x="536"/>
        <item x="594"/>
        <item x="445"/>
        <item x="215"/>
        <item x="898"/>
        <item x="749"/>
        <item x="1261"/>
        <item x="3496"/>
        <item x="3806"/>
        <item x="1055"/>
        <item x="2183"/>
        <item x="3636"/>
        <item x="184"/>
        <item x="2156"/>
        <item x="601"/>
        <item x="1326"/>
        <item x="4518"/>
        <item x="1859"/>
        <item x="3438"/>
        <item x="39"/>
        <item x="3124"/>
        <item x="3368"/>
        <item x="1383"/>
        <item x="3889"/>
        <item x="4565"/>
        <item x="423"/>
        <item x="4261"/>
        <item x="1522"/>
        <item x="1224"/>
        <item x="1002"/>
        <item x="1280"/>
        <item x="3383"/>
        <item x="1444"/>
        <item x="2686"/>
        <item x="532"/>
        <item x="2392"/>
        <item x="3830"/>
        <item x="2099"/>
        <item x="2857"/>
        <item x="2573"/>
        <item x="3402"/>
        <item x="1800"/>
        <item x="906"/>
        <item x="915"/>
        <item x="2784"/>
        <item x="1642"/>
        <item x="3677"/>
        <item x="2613"/>
        <item x="2094"/>
        <item x="4469"/>
        <item x="621"/>
        <item x="3253"/>
        <item x="2069"/>
        <item x="397"/>
        <item x="4095"/>
        <item x="2588"/>
        <item x="3945"/>
        <item x="315"/>
        <item x="1704"/>
        <item x="3685"/>
        <item x="338"/>
        <item x="3378"/>
        <item x="4535"/>
        <item x="3381"/>
        <item x="3594"/>
        <item x="4123"/>
        <item x="2237"/>
        <item x="141"/>
        <item x="1709"/>
        <item x="283"/>
        <item x="2146"/>
        <item x="2877"/>
        <item x="2733"/>
        <item x="415"/>
        <item x="15"/>
        <item x="1520"/>
        <item x="683"/>
        <item x="1451"/>
        <item x="4343"/>
        <item x="1442"/>
        <item x="3779"/>
        <item x="2583"/>
        <item x="1341"/>
        <item x="904"/>
        <item x="2220"/>
        <item x="1801"/>
        <item x="24"/>
        <item x="1745"/>
        <item x="1977"/>
        <item x="4487"/>
        <item x="4388"/>
        <item x="2979"/>
        <item x="3185"/>
        <item x="2492"/>
        <item x="2550"/>
        <item x="1470"/>
        <item x="2828"/>
        <item x="2534"/>
        <item x="3026"/>
        <item x="2598"/>
        <item x="1944"/>
        <item x="29"/>
        <item x="2151"/>
        <item x="3490"/>
        <item x="789"/>
        <item x="1737"/>
        <item x="3086"/>
        <item x="4459"/>
        <item x="2553"/>
        <item x="720"/>
        <item x="352"/>
        <item x="410"/>
        <item x="1581"/>
        <item x="2465"/>
        <item x="74"/>
        <item x="2786"/>
        <item x="2719"/>
        <item x="668"/>
        <item x="4861"/>
        <item x="599"/>
        <item x="2041"/>
        <item x="2721"/>
        <item x="438"/>
        <item x="2282"/>
        <item x="2672"/>
        <item x="3161"/>
        <item x="3048"/>
        <item x="1275"/>
        <item x="4757"/>
        <item x="3151"/>
        <item x="3039"/>
        <item x="3631"/>
        <item x="334"/>
        <item x="1093"/>
        <item x="3141"/>
        <item x="130"/>
        <item x="3153"/>
        <item x="442"/>
        <item x="1841"/>
        <item x="2698"/>
        <item x="3739"/>
        <item x="2083"/>
        <item x="1360"/>
        <item x="1458"/>
        <item x="3897"/>
        <item x="4083"/>
        <item x="1503"/>
        <item x="468"/>
        <item x="1238"/>
        <item x="3339"/>
        <item x="1506"/>
        <item x="4263"/>
        <item x="784"/>
        <item x="4440"/>
        <item x="1035"/>
        <item x="3917"/>
        <item x="2651"/>
        <item x="1851"/>
        <item x="4023"/>
        <item x="4396"/>
        <item x="3091"/>
        <item x="3701"/>
        <item x="2645"/>
        <item x="4149"/>
        <item x="2678"/>
        <item x="2951"/>
        <item x="4069"/>
        <item x="38"/>
        <item x="1113"/>
        <item x="488"/>
        <item x="3623"/>
        <item x="2846"/>
        <item x="1034"/>
        <item x="3074"/>
        <item x="2516"/>
        <item x="3974"/>
        <item x="800"/>
        <item x="943"/>
        <item x="2569"/>
        <item x="2574"/>
        <item x="940"/>
        <item x="1109"/>
        <item x="3938"/>
        <item x="660"/>
        <item x="3434"/>
        <item x="2514"/>
        <item x="187"/>
        <item x="2702"/>
        <item x="3159"/>
        <item x="2554"/>
        <item x="466"/>
        <item x="3270"/>
        <item x="3564"/>
        <item x="1884"/>
        <item x="271"/>
        <item x="1921"/>
        <item x="726"/>
        <item x="2600"/>
        <item x="1044"/>
        <item x="1701"/>
        <item x="3630"/>
        <item x="2537"/>
        <item x="2188"/>
        <item x="2109"/>
        <item x="4200"/>
        <item x="930"/>
        <item x="505"/>
        <item x="129"/>
        <item x="2593"/>
        <item x="3792"/>
        <item x="2063"/>
        <item x="3467"/>
        <item x="87"/>
        <item x="1076"/>
        <item x="1070"/>
        <item x="3554"/>
        <item x="1849"/>
        <item x="3935"/>
        <item x="103"/>
        <item x="4117"/>
        <item x="2673"/>
        <item x="3242"/>
        <item x="1348"/>
        <item x="1991"/>
        <item x="3471"/>
        <item x="2742"/>
        <item x="2050"/>
        <item x="2318"/>
        <item x="3369"/>
        <item x="3028"/>
        <item x="2458"/>
        <item x="2172"/>
        <item x="3125"/>
        <item x="1545"/>
        <item x="3638"/>
        <item x="1220"/>
        <item x="2029"/>
        <item x="1025"/>
        <item x="1555"/>
        <item x="815"/>
        <item x="2631"/>
        <item x="718"/>
        <item x="676"/>
        <item x="1249"/>
        <item x="695"/>
        <item x="1617"/>
        <item x="1774"/>
        <item x="827"/>
        <item x="3815"/>
        <item x="844"/>
        <item x="1372"/>
        <item x="3668"/>
        <item x="3240"/>
        <item x="950"/>
        <item x="597"/>
        <item x="3244"/>
        <item x="1779"/>
        <item x="327"/>
        <item x="2009"/>
        <item x="1565"/>
        <item x="2474"/>
        <item x="2780"/>
        <item x="1149"/>
        <item x="4336"/>
        <item x="3690"/>
        <item x="2260"/>
        <item x="688"/>
        <item x="2988"/>
        <item x="1126"/>
        <item x="857"/>
        <item x="133"/>
        <item x="1832"/>
        <item x="4443"/>
        <item x="409"/>
        <item x="2011"/>
        <item x="1123"/>
        <item x="2717"/>
        <item x="1108"/>
        <item x="3874"/>
        <item x="2097"/>
        <item x="61"/>
        <item x="2300"/>
        <item x="3355"/>
        <item x="4743"/>
        <item x="1754"/>
        <item x="1204"/>
        <item x="1615"/>
        <item x="1139"/>
        <item x="169"/>
        <item x="1822"/>
        <item x="986"/>
        <item x="2451"/>
        <item x="529"/>
        <item x="738"/>
        <item x="3502"/>
        <item x="122"/>
        <item x="937"/>
        <item x="164"/>
        <item x="4077"/>
        <item x="637"/>
        <item x="1622"/>
        <item x="867"/>
        <item x="2250"/>
        <item x="449"/>
        <item x="1933"/>
        <item x="1277"/>
        <item x="3207"/>
        <item x="356"/>
        <item x="882"/>
        <item x="1950"/>
        <item x="231"/>
        <item x="2379"/>
        <item x="1278"/>
        <item x="1453"/>
        <item x="615"/>
        <item x="1062"/>
        <item x="3239"/>
        <item x="285"/>
        <item x="4603"/>
        <item x="226"/>
        <item x="3571"/>
        <item x="1805"/>
        <item x="45"/>
        <item x="1593"/>
        <item x="3110"/>
        <item x="196"/>
        <item x="610"/>
        <item x="2827"/>
        <item x="181"/>
        <item x="3518"/>
        <item x="19"/>
        <item x="1298"/>
        <item x="1499"/>
        <item x="2627"/>
        <item x="2072"/>
        <item x="2435"/>
        <item x="2419"/>
        <item x="1251"/>
        <item x="861"/>
        <item x="899"/>
        <item x="3782"/>
        <item x="3361"/>
        <item x="884"/>
        <item x="1286"/>
        <item x="3024"/>
        <item x="2477"/>
        <item x="2242"/>
        <item x="1691"/>
        <item x="1267"/>
        <item x="1060"/>
        <item x="1684"/>
        <item x="654"/>
        <item x="2421"/>
        <item x="1618"/>
        <item x="1015"/>
        <item x="825"/>
        <item x="2031"/>
        <item x="3305"/>
        <item x="2730"/>
        <item x="3484"/>
        <item x="1914"/>
        <item x="1486"/>
        <item x="2590"/>
        <item x="219"/>
        <item x="2251"/>
        <item x="1255"/>
        <item x="503"/>
        <item x="2468"/>
        <item x="1033"/>
        <item x="598"/>
        <item x="324"/>
        <item x="287"/>
        <item x="1648"/>
        <item x="642"/>
        <item x="424"/>
        <item x="814"/>
        <item x="23"/>
        <item x="3427"/>
        <item x="619"/>
        <item x="3766"/>
        <item x="3607"/>
        <item x="2718"/>
        <item x="3170"/>
        <item x="4690"/>
        <item x="1510"/>
        <item x="1103"/>
        <item x="1897"/>
        <item x="493"/>
        <item x="2935"/>
        <item x="686"/>
        <item x="1459"/>
        <item x="2875"/>
        <item x="1666"/>
        <item x="3092"/>
        <item x="2314"/>
        <item x="1091"/>
        <item x="4160"/>
        <item x="561"/>
        <item x="52"/>
        <item x="2412"/>
        <item x="1136"/>
        <item x="290"/>
        <item x="4215"/>
        <item x="3248"/>
        <item x="492"/>
        <item x="2898"/>
        <item x="2026"/>
        <item x="384"/>
        <item x="2416"/>
        <item x="2535"/>
        <item x="3168"/>
        <item x="648"/>
        <item x="2966"/>
        <item x="4074"/>
        <item x="1008"/>
        <item x="4196"/>
        <item x="1377"/>
        <item x="2999"/>
        <item x="2447"/>
        <item x="1414"/>
        <item x="228"/>
        <item x="963"/>
        <item x="1423"/>
        <item x="1697"/>
        <item x="1169"/>
        <item x="1373"/>
        <item x="550"/>
        <item x="240"/>
        <item x="2968"/>
        <item x="2402"/>
        <item x="3460"/>
        <item x="2328"/>
        <item x="1174"/>
        <item x="2228"/>
        <item x="3277"/>
        <item x="2980"/>
        <item x="1567"/>
        <item x="2168"/>
        <item x="67"/>
        <item x="3399"/>
        <item x="1979"/>
        <item x="3708"/>
        <item x="3950"/>
        <item x="1124"/>
        <item x="4128"/>
        <item x="2720"/>
        <item x="3152"/>
        <item x="2047"/>
        <item x="2804"/>
        <item x="2527"/>
        <item x="2485"/>
        <item x="1168"/>
        <item x="2360"/>
        <item x="2092"/>
        <item x="2008"/>
        <item x="2708"/>
        <item x="1318"/>
        <item x="537"/>
        <item x="520"/>
        <item x="120"/>
        <item x="3437"/>
        <item x="3301"/>
        <item x="1711"/>
        <item x="2918"/>
        <item x="4126"/>
        <item x="1195"/>
        <item x="1364"/>
        <item x="1110"/>
        <item x="923"/>
        <item x="4853"/>
        <item x="2135"/>
        <item x="298"/>
        <item x="905"/>
        <item x="4841"/>
        <item x="609"/>
        <item x="1733"/>
        <item x="2297"/>
        <item x="2132"/>
        <item x="454"/>
        <item x="973"/>
        <item x="286"/>
        <item x="109"/>
        <item x="3312"/>
        <item x="3833"/>
        <item x="264"/>
        <item x="3640"/>
        <item x="320"/>
        <item x="2253"/>
        <item x="680"/>
        <item x="1479"/>
        <item x="1297"/>
        <item x="535"/>
        <item x="816"/>
        <item x="2835"/>
        <item x="4039"/>
        <item x="778"/>
        <item x="247"/>
        <item x="1586"/>
        <item x="2564"/>
        <item x="1064"/>
        <item x="1551"/>
        <item x="2696"/>
        <item x="768"/>
        <item x="4306"/>
        <item x="5026"/>
        <item x="3303"/>
        <item x="1871"/>
        <item x="2853"/>
        <item x="932"/>
        <item x="4859"/>
        <item x="1177"/>
        <item x="396"/>
        <item x="2842"/>
        <item x="479"/>
        <item x="1986"/>
        <item x="4251"/>
        <item x="3245"/>
        <item x="901"/>
        <item x="3436"/>
        <item x="2665"/>
        <item x="2217"/>
        <item x="2844"/>
        <item x="3884"/>
        <item x="2661"/>
        <item x="303"/>
        <item x="684"/>
        <item x="954"/>
        <item x="3652"/>
        <item x="3953"/>
        <item x="3132"/>
        <item x="746"/>
        <item x="147"/>
        <item x="3856"/>
        <item x="974"/>
        <item x="1329"/>
        <item x="1599"/>
        <item x="1764"/>
        <item x="865"/>
        <item x="2322"/>
        <item x="2850"/>
        <item x="1389"/>
        <item x="3872"/>
        <item x="966"/>
        <item x="1013"/>
        <item x="3715"/>
        <item x="3371"/>
        <item x="1727"/>
        <item x="2589"/>
        <item x="3700"/>
        <item x="2022"/>
        <item x="4105"/>
        <item x="3187"/>
        <item x="2326"/>
        <item x="1652"/>
        <item x="2349"/>
        <item x="4153"/>
        <item x="1370"/>
        <item x="1548"/>
        <item x="4085"/>
        <item x="2478"/>
        <item x="1312"/>
        <item x="3299"/>
        <item x="4035"/>
        <item x="395"/>
        <item x="316"/>
        <item x="230"/>
        <item x="3832"/>
        <item x="3586"/>
        <item x="1141"/>
        <item x="911"/>
        <item x="1379"/>
        <item x="2190"/>
        <item x="4596"/>
        <item x="3114"/>
        <item x="292"/>
        <item x="402"/>
        <item x="2958"/>
        <item x="481"/>
        <item x="1878"/>
        <item x="487"/>
        <item x="443"/>
        <item x="1289"/>
        <item x="3243"/>
        <item x="4224"/>
        <item x="3489"/>
        <item x="826"/>
        <item x="902"/>
        <item x="3514"/>
        <item x="2639"/>
        <item x="1053"/>
        <item x="2344"/>
        <item x="3359"/>
        <item x="3963"/>
        <item x="1385"/>
        <item x="227"/>
        <item x="1732"/>
        <item x="1428"/>
        <item x="783"/>
        <item x="4157"/>
        <item x="2998"/>
        <item x="1601"/>
        <item x="2887"/>
        <item x="2747"/>
        <item x="1706"/>
        <item x="864"/>
        <item x="1193"/>
        <item x="3959"/>
        <item x="2000"/>
        <item x="1753"/>
        <item x="2575"/>
        <item x="1300"/>
        <item x="1719"/>
        <item x="209"/>
        <item x="457"/>
        <item x="102"/>
        <item x="725"/>
        <item x="3495"/>
        <item x="1260"/>
        <item x="3401"/>
        <item x="2232"/>
        <item x="1589"/>
        <item x="380"/>
        <item x="2818"/>
        <item x="518"/>
        <item x="1485"/>
        <item x="2044"/>
        <item x="2724"/>
        <item x="3424"/>
        <item x="2167"/>
        <item x="1741"/>
        <item x="549"/>
        <item x="3558"/>
        <item x="3206"/>
        <item x="3664"/>
        <item x="756"/>
        <item x="734"/>
        <item x="4533"/>
        <item x="99"/>
        <item x="4488"/>
        <item x="1358"/>
        <item x="171"/>
        <item x="3200"/>
        <item x="1959"/>
        <item x="2611"/>
        <item x="3296"/>
        <item x="3790"/>
        <item x="1983"/>
        <item x="3263"/>
        <item x="4446"/>
        <item x="4135"/>
        <item x="3070"/>
        <item x="3017"/>
        <item x="3676"/>
        <item x="1915"/>
        <item x="1879"/>
        <item x="2160"/>
        <item x="2616"/>
        <item x="1523"/>
        <item x="1863"/>
        <item x="3741"/>
        <item x="1226"/>
        <item x="1893"/>
        <item x="2080"/>
        <item x="2149"/>
        <item x="971"/>
        <item x="1463"/>
        <item x="1467"/>
        <item x="2382"/>
        <item x="3354"/>
        <item x="2558"/>
        <item x="2271"/>
        <item x="4267"/>
        <item x="661"/>
        <item x="1421"/>
        <item x="394"/>
        <item x="2473"/>
        <item x="1614"/>
        <item x="3505"/>
        <item x="4417"/>
        <item x="1515"/>
        <item x="1164"/>
        <item x="3251"/>
        <item x="925"/>
        <item x="2"/>
        <item x="1129"/>
        <item x="2057"/>
        <item x="4682"/>
        <item x="3327"/>
        <item x="2790"/>
        <item x="1409"/>
        <item x="652"/>
        <item x="1417"/>
        <item x="4358"/>
        <item x="4707"/>
        <item x="3001"/>
        <item x="4207"/>
        <item x="2565"/>
        <item x="220"/>
        <item x="2919"/>
        <item x="1371"/>
        <item x="1888"/>
        <item x="343"/>
        <item x="1369"/>
        <item x="1916"/>
        <item x="4258"/>
        <item x="2205"/>
        <item x="2798"/>
        <item x="132"/>
        <item x="1632"/>
        <item x="1418"/>
        <item x="3420"/>
        <item x="364"/>
        <item x="1734"/>
        <item x="3960"/>
        <item x="918"/>
        <item x="1680"/>
        <item x="560"/>
        <item x="3498"/>
        <item x="3927"/>
        <item x="3787"/>
        <item x="2491"/>
        <item x="1696"/>
        <item x="2577"/>
        <item x="3051"/>
        <item x="3850"/>
        <item x="1342"/>
        <item x="2266"/>
        <item x="3981"/>
        <item x="2176"/>
        <item x="1919"/>
        <item x="4031"/>
        <item x="1945"/>
        <item x="1780"/>
        <item x="274"/>
        <item x="3133"/>
        <item x="547"/>
        <item x="2644"/>
        <item x="1350"/>
        <item x="1985"/>
        <item x="2789"/>
        <item x="1500"/>
        <item x="689"/>
        <item x="1466"/>
        <item x="3230"/>
        <item x="2259"/>
        <item x="2487"/>
        <item x="4736"/>
        <item x="500"/>
        <item x="3431"/>
        <item x="3823"/>
        <item x="161"/>
        <item x="1772"/>
        <item x="337"/>
        <item x="2964"/>
        <item x="2090"/>
        <item x="1388"/>
        <item x="1735"/>
        <item x="2105"/>
        <item x="1171"/>
        <item x="1771"/>
        <item x="223"/>
        <item x="2873"/>
        <item x="3197"/>
        <item x="166"/>
        <item x="472"/>
        <item x="381"/>
        <item x="534"/>
        <item x="4098"/>
        <item x="1435"/>
        <item x="1759"/>
        <item x="4772"/>
        <item x="3893"/>
        <item x="4066"/>
        <item x="2560"/>
        <item x="127"/>
        <item x="427"/>
        <item x="4412"/>
        <item x="842"/>
        <item x="1810"/>
        <item x="434"/>
        <item x="3259"/>
        <item x="1767"/>
        <item x="3990"/>
        <item x="1712"/>
        <item x="3804"/>
        <item x="2500"/>
        <item x="1596"/>
        <item x="2629"/>
        <item x="3757"/>
        <item x="1629"/>
        <item x="854"/>
        <item x="471"/>
        <item x="919"/>
        <item x="1981"/>
        <item x="2965"/>
        <item x="1211"/>
        <item x="1441"/>
        <item x="712"/>
        <item x="3613"/>
        <item x="1374"/>
        <item x="2403"/>
        <item x="1228"/>
        <item x="1525"/>
        <item x="806"/>
        <item x="229"/>
        <item x="1645"/>
        <item x="3698"/>
        <item x="1682"/>
        <item x="2301"/>
        <item x="2126"/>
        <item x="2209"/>
        <item x="34"/>
        <item x="3447"/>
        <item x="2997"/>
        <item x="2311"/>
        <item x="2866"/>
        <item x="792"/>
        <item x="1252"/>
        <item x="1604"/>
        <item x="2941"/>
        <item x="28"/>
        <item x="2317"/>
        <item x="2038"/>
        <item x="1624"/>
        <item x="3211"/>
        <item x="1447"/>
        <item x="1566"/>
        <item x="260"/>
        <item x="4165"/>
        <item x="1836"/>
        <item x="748"/>
        <item x="3561"/>
        <item x="3209"/>
        <item x="2615"/>
        <item x="2640"/>
        <item x="4409"/>
        <item x="1331"/>
        <item x="3418"/>
        <item x="2901"/>
        <item x="4264"/>
        <item x="1184"/>
        <item x="1205"/>
        <item x="4414"/>
        <item x="1765"/>
        <item x="3375"/>
        <item x="1276"/>
        <item x="1425"/>
        <item x="3182"/>
        <item x="1891"/>
        <item x="346"/>
        <item x="2586"/>
        <item x="2993"/>
        <item x="1362"/>
        <item x="447"/>
        <item x="146"/>
        <item x="386"/>
        <item x="1806"/>
        <item x="2155"/>
        <item x="618"/>
        <item x="367"/>
        <item x="917"/>
        <item x="526"/>
        <item x="1524"/>
        <item x="3523"/>
        <item x="235"/>
        <item x="3457"/>
        <item x="4619"/>
        <item x="145"/>
        <item x="3123"/>
        <item x="3785"/>
        <item x="3059"/>
        <item x="938"/>
        <item x="3612"/>
        <item x="4115"/>
        <item x="251"/>
        <item x="4507"/>
        <item x="4116"/>
        <item x="1075"/>
        <item x="2198"/>
        <item x="1243"/>
        <item x="467"/>
        <item x="2669"/>
        <item x="758"/>
        <item x="323"/>
        <item x="2526"/>
        <item x="428"/>
        <item x="2298"/>
        <item x="2759"/>
        <item x="5069"/>
        <item x="3"/>
        <item x="1758"/>
        <item x="2211"/>
        <item x="2005"/>
        <item x="1430"/>
        <item x="3188"/>
        <item x="201"/>
        <item x="3351"/>
        <item x="3370"/>
        <item x="624"/>
        <item x="2764"/>
        <item x="595"/>
        <item x="1406"/>
        <item x="3754"/>
        <item x="4088"/>
        <item x="1744"/>
        <item x="270"/>
        <item x="1264"/>
        <item x="2765"/>
        <item x="2876"/>
        <item x="795"/>
        <item x="1020"/>
        <item x="63"/>
        <item x="3932"/>
        <item x="3013"/>
        <item x="4528"/>
        <item x="807"/>
        <item x="3908"/>
        <item x="2808"/>
        <item x="1949"/>
        <item x="1052"/>
        <item x="1291"/>
        <item x="106"/>
        <item x="282"/>
        <item x="3706"/>
        <item x="989"/>
        <item x="2542"/>
        <item x="1469"/>
        <item x="57"/>
        <item x="2920"/>
        <item x="584"/>
        <item x="1541"/>
        <item x="2667"/>
        <item x="1119"/>
        <item x="2408"/>
        <item x="89"/>
        <item x="1866"/>
        <item x="2713"/>
        <item x="3776"/>
        <item x="741"/>
        <item x="1223"/>
        <item x="2507"/>
        <item x="1963"/>
        <item x="404"/>
        <item x="1873"/>
        <item x="3274"/>
        <item x="2201"/>
        <item x="1232"/>
        <item x="1157"/>
        <item x="2396"/>
        <item x="71"/>
        <item x="278"/>
        <item x="1426"/>
        <item x="2904"/>
        <item x="3880"/>
        <item x="2074"/>
        <item x="4304"/>
        <item x="1363"/>
        <item x="1165"/>
        <item x="770"/>
        <item x="1294"/>
        <item x="4430"/>
        <item x="1814"/>
        <item x="1188"/>
        <item x="1296"/>
        <item x="1303"/>
        <item x="4076"/>
        <item x="4375"/>
        <item x="2125"/>
        <item x="2397"/>
        <item x="1207"/>
        <item x="2525"/>
        <item x="3768"/>
        <item x="1578"/>
        <item x="1811"/>
        <item x="1354"/>
        <item x="4406"/>
        <item x="4526"/>
        <item x="4280"/>
        <item x="907"/>
        <item x="2134"/>
        <item x="983"/>
        <item x="3109"/>
        <item x="3235"/>
        <item x="896"/>
        <item x="2003"/>
        <item x="4529"/>
        <item x="2472"/>
        <item x="376"/>
        <item x="2544"/>
        <item x="1497"/>
        <item x="1976"/>
        <item x="582"/>
        <item x="666"/>
        <item x="4695"/>
        <item x="4190"/>
        <item x="3154"/>
        <item x="1038"/>
        <item x="675"/>
        <item x="3555"/>
        <item x="435"/>
        <item x="47"/>
        <item x="1133"/>
        <item x="3330"/>
        <item x="2662"/>
        <item x="1693"/>
        <item x="1514"/>
        <item x="4579"/>
        <item x="1909"/>
        <item x="3175"/>
        <item x="1420"/>
        <item x="2103"/>
        <item x="2916"/>
        <item x="822"/>
        <item x="1176"/>
        <item x="3326"/>
        <item x="4720"/>
        <item x="76"/>
        <item x="2024"/>
        <item x="4139"/>
        <item x="3699"/>
        <item x="981"/>
        <item x="55"/>
        <item x="118"/>
        <item x="2498"/>
        <item x="1343"/>
        <item x="1474"/>
        <item x="259"/>
        <item x="2897"/>
        <item x="1597"/>
        <item x="2714"/>
        <item x="946"/>
        <item x="1598"/>
        <item x="3389"/>
        <item x="3704"/>
        <item x="3138"/>
        <item x="1208"/>
        <item x="2353"/>
        <item x="4420"/>
        <item x="2603"/>
        <item x="1717"/>
        <item x="441"/>
        <item x="378"/>
        <item x="430"/>
        <item x="4099"/>
        <item x="2660"/>
        <item x="474"/>
        <item x="1803"/>
        <item x="982"/>
        <item x="3666"/>
        <item x="388"/>
        <item x="3045"/>
        <item x="2896"/>
        <item x="1561"/>
        <item x="179"/>
        <item x="325"/>
        <item x="2443"/>
        <item x="4479"/>
        <item x="4221"/>
        <item x="4353"/>
        <item x="1649"/>
        <item x="3680"/>
        <item x="268"/>
        <item x="1643"/>
        <item x="2775"/>
        <item x="796"/>
        <item x="35"/>
        <item x="2375"/>
        <item x="708"/>
        <item x="112"/>
        <item x="2822"/>
        <item x="1209"/>
        <item x="2557"/>
        <item x="54"/>
        <item x="931"/>
        <item x="3909"/>
        <item x="2663"/>
        <item x="4056"/>
        <item x="311"/>
        <item x="3538"/>
        <item x="1066"/>
        <item x="2682"/>
        <item x="2707"/>
        <item x="510"/>
        <item x="2223"/>
        <item x="3936"/>
        <item x="1982"/>
        <item x="1656"/>
        <item x="3009"/>
        <item x="2411"/>
        <item x="2824"/>
        <item x="148"/>
        <item x="2179"/>
        <item x="2555"/>
        <item x="1305"/>
        <item x="221"/>
        <item x="1212"/>
        <item x="1726"/>
        <item x="669"/>
        <item x="559"/>
        <item x="2548"/>
        <item x="1272"/>
        <item x="1345"/>
        <item x="543"/>
        <item x="1507"/>
        <item x="1770"/>
        <item x="933"/>
        <item x="1337"/>
        <item x="750"/>
        <item x="880"/>
        <item x="3373"/>
        <item x="2248"/>
        <item x="567"/>
        <item x="1918"/>
        <item x="3280"/>
        <item x="1925"/>
        <item x="873"/>
        <item x="1234"/>
        <item x="765"/>
        <item x="110"/>
        <item x="237"/>
        <item x="1072"/>
        <item x="150"/>
        <item x="1032"/>
        <item x="1592"/>
        <item x="1233"/>
        <item x="3705"/>
        <item x="1355"/>
        <item x="647"/>
        <item x="3657"/>
        <item x="3265"/>
        <item x="2547"/>
        <item x="1259"/>
        <item x="2800"/>
        <item x="4127"/>
        <item x="2566"/>
        <item x="2529"/>
        <item x="835"/>
        <item x="888"/>
        <item x="924"/>
        <item x="4234"/>
        <item x="1516"/>
        <item x="804"/>
        <item x="1973"/>
        <item x="4237"/>
        <item x="2186"/>
        <item x="4481"/>
        <item x="1793"/>
        <item x="2380"/>
        <item x="2921"/>
        <item x="2546"/>
        <item x="3255"/>
        <item x="359"/>
        <item x="309"/>
        <item x="11"/>
        <item x="805"/>
        <item x="962"/>
        <item x="1316"/>
        <item x="2158"/>
        <item x="1077"/>
        <item x="1556"/>
        <item x="1320"/>
        <item x="2624"/>
        <item x="1483"/>
        <item x="2459"/>
        <item x="2801"/>
        <item x="1653"/>
        <item x="843"/>
        <item x="4995"/>
        <item x="2481"/>
        <item x="1186"/>
        <item x="2521"/>
        <item x="1167"/>
        <item x="972"/>
        <item x="2869"/>
        <item x="3829"/>
        <item x="3578"/>
        <item x="3085"/>
        <item x="2423"/>
        <item x="632"/>
        <item x="3507"/>
        <item x="3512"/>
        <item x="1824"/>
        <item x="580"/>
        <item x="2781"/>
        <item x="1720"/>
        <item x="1819"/>
        <item x="1838"/>
        <item x="4278"/>
        <item x="1330"/>
        <item x="2351"/>
        <item x="2551"/>
        <item x="818"/>
        <item x="2293"/>
        <item x="1175"/>
        <item x="4453"/>
        <item x="2617"/>
        <item x="3139"/>
        <item x="64"/>
        <item x="4400"/>
        <item x="2354"/>
        <item x="821"/>
        <item x="2095"/>
        <item x="1026"/>
        <item x="4119"/>
        <item x="269"/>
        <item x="1948"/>
        <item x="1725"/>
        <item x="885"/>
        <item x="2338"/>
        <item x="2272"/>
        <item x="2366"/>
        <item x="4164"/>
        <item x="2018"/>
        <item x="1721"/>
        <item x="651"/>
        <item x="1833"/>
        <item x="3171"/>
        <item x="420"/>
        <item x="1187"/>
        <item x="969"/>
        <item x="2284"/>
        <item x="3416"/>
        <item x="2413"/>
        <item x="4610"/>
        <item x="1114"/>
        <item x="3094"/>
        <item x="3032"/>
        <item x="2776"/>
        <item x="1472"/>
        <item x="140"/>
        <item x="2108"/>
        <item x="2356"/>
        <item x="2954"/>
        <item x="733"/>
        <item x="1537"/>
        <item x="3468"/>
        <item x="1039"/>
        <item x="1190"/>
        <item x="49"/>
        <item x="1738"/>
        <item x="2619"/>
        <item x="3476"/>
        <item x="960"/>
        <item x="2130"/>
        <item x="1240"/>
        <item x="1639"/>
        <item x="4118"/>
        <item x="3520"/>
        <item x="3485"/>
        <item x="727"/>
        <item x="3172"/>
        <item x="2346"/>
        <item x="3851"/>
        <item x="2042"/>
        <item x="2734"/>
        <item x="3861"/>
        <item x="2313"/>
        <item x="1995"/>
        <item x="2668"/>
        <item x="557"/>
        <item x="3105"/>
        <item x="2522"/>
        <item x="3329"/>
        <item x="1058"/>
        <item x="1061"/>
        <item x="1946"/>
        <item x="1508"/>
        <item x="2258"/>
        <item x="273"/>
        <item x="947"/>
        <item x="2352"/>
        <item x="3260"/>
        <item x="1731"/>
        <item x="2334"/>
        <item x="2831"/>
        <item x="2150"/>
        <item x="3406"/>
        <item x="3046"/>
        <item x="3213"/>
        <item x="2418"/>
        <item x="300"/>
        <item x="2236"/>
        <item x="779"/>
        <item x="2364"/>
        <item x="2496"/>
        <item x="296"/>
        <item x="1609"/>
        <item x="2741"/>
        <item x="1864"/>
        <item x="1037"/>
        <item x="1876"/>
        <item x="1931"/>
        <item x="1695"/>
        <item x="794"/>
        <item x="894"/>
        <item x="730"/>
        <item x="508"/>
        <item x="1057"/>
        <item x="3099"/>
        <item x="177"/>
        <item x="987"/>
        <item x="4361"/>
        <item x="841"/>
        <item x="349"/>
        <item x="2479"/>
        <item x="760"/>
        <item x="2499"/>
        <item x="1998"/>
        <item x="3429"/>
        <item x="863"/>
        <item x="928"/>
        <item x="3885"/>
        <item x="4752"/>
        <item x="4"/>
        <item x="967"/>
        <item x="36"/>
        <item x="717"/>
        <item x="3654"/>
        <item x="3678"/>
        <item x="692"/>
        <item x="398"/>
        <item x="984"/>
        <item x="3412"/>
        <item x="3276"/>
        <item x="114"/>
        <item x="1519"/>
        <item x="2811"/>
        <item x="2128"/>
        <item x="3494"/>
        <item x="4138"/>
        <item x="1436"/>
        <item x="1937"/>
        <item x="4222"/>
        <item x="3060"/>
        <item x="2578"/>
        <item x="2942"/>
        <item x="3227"/>
        <item x="1776"/>
        <item x="1972"/>
        <item x="1681"/>
        <item x="1953"/>
        <item x="1106"/>
        <item x="811"/>
        <item x="4391"/>
        <item x="377"/>
        <item x="1992"/>
        <item x="2996"/>
        <item x="522"/>
        <item x="2787"/>
        <item x="3905"/>
        <item x="25"/>
        <item x="2504"/>
        <item x="2153"/>
        <item x="2890"/>
        <item x="182"/>
        <item x="2931"/>
        <item x="2238"/>
        <item x="2224"/>
        <item x="4364"/>
        <item x="90"/>
        <item x="903"/>
        <item x="3568"/>
        <item x="1865"/>
        <item x="2100"/>
        <item x="2021"/>
        <item x="3890"/>
        <item x="3902"/>
        <item x="4121"/>
        <item x="860"/>
        <item x="2483"/>
        <item x="2295"/>
        <item x="1096"/>
        <item x="3324"/>
        <item x="1443"/>
        <item x="1794"/>
        <item x="926"/>
        <item x="3725"/>
        <item x="263"/>
        <item x="3241"/>
        <item x="3069"/>
        <item x="3278"/>
        <item x="548"/>
        <item x="988"/>
        <item x="2705"/>
        <item x="98"/>
        <item x="1554"/>
        <item x="693"/>
        <item x="494"/>
        <item x="43"/>
        <item x="3250"/>
        <item x="1932"/>
        <item x="2894"/>
        <item x="4199"/>
        <item x="2001"/>
        <item x="1203"/>
        <item x="2605"/>
        <item x="2633"/>
        <item x="1934"/>
        <item x="3428"/>
        <item x="289"/>
        <item x="2757"/>
        <item x="1130"/>
        <item x="4006"/>
        <item x="1292"/>
        <item x="197"/>
        <item x="777"/>
        <item x="3599"/>
        <item x="922"/>
        <item x="1583"/>
        <item x="1844"/>
        <item x="4089"/>
        <item x="336"/>
        <item x="2746"/>
        <item x="1808"/>
        <item x="2952"/>
        <item x="2374"/>
        <item x="964"/>
        <item x="206"/>
        <item x="4042"/>
        <item x="3380"/>
        <item x="2305"/>
        <item x="3374"/>
        <item x="2309"/>
        <item x="172"/>
        <item x="622"/>
        <item x="60"/>
        <item x="754"/>
        <item x="2758"/>
        <item x="895"/>
        <item x="2791"/>
        <item x="18"/>
        <item x="3972"/>
        <item x="4080"/>
        <item x="2075"/>
        <item x="2200"/>
        <item x="1797"/>
        <item x="2358"/>
        <item x="1290"/>
        <item x="1468"/>
        <item x="1775"/>
        <item x="1465"/>
        <item x="991"/>
        <item x="2971"/>
        <item x="2763"/>
        <item x="437"/>
        <item x="2608"/>
        <item x="4040"/>
        <item x="870"/>
        <item x="773"/>
        <item x="170"/>
        <item x="802"/>
        <item x="2795"/>
        <item x="3174"/>
        <item x="2777"/>
        <item x="1476"/>
        <item x="3544"/>
        <item x="2599"/>
        <item x="849"/>
        <item x="1368"/>
        <item x="868"/>
        <item x="4337"/>
        <item x="4788"/>
        <item x="2336"/>
        <item x="2165"/>
        <item x="1885"/>
        <item x="2249"/>
        <item x="1340"/>
        <item x="3387"/>
        <item x="16"/>
        <item x="411"/>
        <item x="3229"/>
        <item x="1003"/>
        <item x="874"/>
        <item x="72"/>
        <item x="2670"/>
        <item x="2612"/>
        <item x="3720"/>
        <item x="948"/>
        <item x="350"/>
        <item x="453"/>
        <item x="3828"/>
        <item x="2089"/>
        <item x="1930"/>
        <item x="3916"/>
        <item x="1313"/>
        <item x="836"/>
        <item x="1875"/>
        <item x="2889"/>
        <item x="517"/>
        <item x="2922"/>
        <item x="858"/>
        <item x="1202"/>
        <item x="1847"/>
        <item x="785"/>
        <item x="1271"/>
        <item x="2139"/>
        <item x="638"/>
        <item x="314"/>
        <item x="2082"/>
        <item x="3257"/>
        <item x="2847"/>
        <item x="646"/>
        <item x="369"/>
        <item x="786"/>
        <item x="1040"/>
        <item x="1756"/>
        <item x="1206"/>
        <item x="808"/>
        <item x="2385"/>
        <item x="980"/>
        <item x="3827"/>
        <item x="2666"/>
        <item x="672"/>
        <item x="80"/>
        <item x="2415"/>
        <item x="2286"/>
        <item x="4048"/>
        <item x="429"/>
        <item x="3147"/>
        <item x="2192"/>
        <item x="2959"/>
        <item x="4649"/>
        <item x="780"/>
        <item x="2016"/>
        <item x="723"/>
        <item x="2279"/>
        <item x="4136"/>
        <item x="3988"/>
        <item x="3071"/>
        <item x="2098"/>
        <item x="2384"/>
        <item x="4495"/>
        <item x="460"/>
        <item x="2632"/>
        <item x="694"/>
        <item x="277"/>
        <item x="2010"/>
        <item x="631"/>
        <item x="83"/>
        <item x="3267"/>
        <item x="1560"/>
        <item x="379"/>
        <item x="941"/>
        <item x="4369"/>
        <item x="1708"/>
        <item x="645"/>
        <item x="1676"/>
        <item x="2882"/>
        <item x="4298"/>
        <item x="1128"/>
        <item x="704"/>
        <item x="4503"/>
        <item x="3097"/>
        <item x="1574"/>
        <item x="3183"/>
        <item x="2693"/>
        <item x="1464"/>
        <item x="1237"/>
        <item x="512"/>
        <item x="1274"/>
        <item x="3755"/>
        <item t="default"/>
      </items>
    </pivotField>
    <pivotField showAll="0"/>
    <pivotField showAll="0">
      <items count="6">
        <item x="2"/>
        <item x="1"/>
        <item x="4"/>
        <item x="3"/>
        <item x="0"/>
        <item t="default"/>
      </items>
    </pivotField>
    <pivotField showAll="0">
      <items count="8">
        <item x="0"/>
        <item x="1"/>
        <item x="2"/>
        <item x="3"/>
        <item x="4"/>
        <item x="5"/>
        <item x="6"/>
        <item t="default"/>
      </items>
    </pivotField>
    <pivotField showAll="0"/>
    <pivotField showAll="0">
      <items count="3">
        <item x="0"/>
        <item x="1"/>
        <item t="default"/>
      </items>
    </pivotField>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9">
        <item x="0"/>
        <item x="1"/>
        <item x="2"/>
        <item x="3"/>
        <item x="4"/>
        <item x="5"/>
        <item x="6"/>
        <item x="7"/>
        <item x="8"/>
        <item x="9"/>
        <item x="10"/>
        <item x="11"/>
        <item x="12"/>
        <item x="13"/>
        <item x="14"/>
        <item x="15"/>
        <item x="16"/>
        <item x="17"/>
        <item t="default"/>
      </items>
    </pivotField>
  </pivotFields>
  <rowItems count="1">
    <i/>
  </rowItems>
  <colItems count="1">
    <i/>
  </colItems>
  <dataFields count="1">
    <dataField name="Average of Salary_INR" fld="10" subtotal="average"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_Mode" xr10:uid="{2CD54B9E-33A1-40FA-92D0-5413DB01034C}" sourceName="Work_Mode">
  <pivotTables>
    <pivotTable tabId="3" name="PivotTable1"/>
    <pivotTable tabId="3" name="PivotTable12"/>
    <pivotTable tabId="3" name="PivotTable13"/>
    <pivotTable tabId="3" name="PivotTable2"/>
    <pivotTable tabId="3" name="PivotTable3"/>
    <pivotTable tabId="3" name="PivotTable4"/>
    <pivotTable tabId="3" name="PivotTable5"/>
    <pivotTable tabId="3" name="PivotTable6"/>
    <pivotTable tabId="3" name="PivotTable8"/>
    <pivotTable tabId="3" name="PivotTable9"/>
    <pivotTable tabId="3" name="PivotTable10"/>
    <pivotTable tabId="3" name="PivotTable14"/>
  </pivotTables>
  <data>
    <tabular pivotCacheId="1680204187">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_Rating" xr10:uid="{D73F46FE-62C9-4F33-9E95-1C5E3CFAAC09}" sourceName="Performance_Rating">
  <pivotTables>
    <pivotTable tabId="3" name="PivotTable1"/>
    <pivotTable tabId="3" name="PivotTable10"/>
    <pivotTable tabId="3" name="PivotTable12"/>
    <pivotTable tabId="3" name="PivotTable13"/>
    <pivotTable tabId="3" name="PivotTable2"/>
    <pivotTable tabId="3" name="PivotTable3"/>
    <pivotTable tabId="3" name="PivotTable4"/>
    <pivotTable tabId="3" name="PivotTable6"/>
    <pivotTable tabId="3" name="PivotTable7"/>
    <pivotTable tabId="3" name="PivotTable8"/>
    <pivotTable tabId="3" name="PivotTable9"/>
    <pivotTable tabId="3" name="PivotTable5"/>
    <pivotTable tabId="3" name="PivotTable11"/>
    <pivotTable tabId="3" name="PivotTable14"/>
  </pivotTables>
  <data>
    <tabular pivotCacheId="1680204187">
      <items count="5">
        <i x="2" s="1"/>
        <i x="1" s="1"/>
        <i x="4"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47A8095F-A8B2-434E-991A-E70807612D98}" sourceName="Status">
  <pivotTables>
    <pivotTable tabId="3" name="PivotTable1"/>
    <pivotTable tabId="3" name="PivotTable10"/>
    <pivotTable tabId="3" name="PivotTable12"/>
    <pivotTable tabId="3" name="PivotTable13"/>
    <pivotTable tabId="3" name="PivotTable2"/>
    <pivotTable tabId="3" name="PivotTable3"/>
    <pivotTable tabId="3" name="PivotTable4"/>
    <pivotTable tabId="3" name="PivotTable6"/>
    <pivotTable tabId="3" name="PivotTable7"/>
    <pivotTable tabId="3" name="PivotTable8"/>
    <pivotTable tabId="3" name="PivotTable11"/>
  </pivotTables>
  <data>
    <tabular pivotCacheId="1680204187">
      <items count="4">
        <i x="1" s="1"/>
        <i x="0"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ork_Mode" xr10:uid="{4CC6234E-9532-44ED-A09C-AB06B5C9C3D1}" cache="Slicer_Work_Mode" caption="Work_Mode" columnCount="2" style="SlicerStyleDark1" rowHeight="241300"/>
  <slicer name="Performance_Rating" xr10:uid="{769B3D91-638E-429C-8B6B-A8E496FE7114}" cache="Slicer_Performance_Rating" caption="Performance_Rating" style="SlicerStyleDark1" rowHeight="396000"/>
  <slicer name="Status" xr10:uid="{5D0872C2-FDB7-4488-A3D1-EDBFC67223F3}" cache="Slicer_Status" caption="Status" style="SlicerStyleDark1" rowHeight="57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alibri Light"/>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12.xml"/><Relationship Id="rId13" Type="http://schemas.openxmlformats.org/officeDocument/2006/relationships/pivotTable" Target="../pivotTables/pivotTable17.xml"/><Relationship Id="rId3" Type="http://schemas.openxmlformats.org/officeDocument/2006/relationships/pivotTable" Target="../pivotTables/pivotTable7.xml"/><Relationship Id="rId7" Type="http://schemas.openxmlformats.org/officeDocument/2006/relationships/pivotTable" Target="../pivotTables/pivotTable11.xml"/><Relationship Id="rId12" Type="http://schemas.openxmlformats.org/officeDocument/2006/relationships/pivotTable" Target="../pivotTables/pivotTable16.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11" Type="http://schemas.openxmlformats.org/officeDocument/2006/relationships/pivotTable" Target="../pivotTables/pivotTable15.xml"/><Relationship Id="rId5" Type="http://schemas.openxmlformats.org/officeDocument/2006/relationships/pivotTable" Target="../pivotTables/pivotTable9.xml"/><Relationship Id="rId10" Type="http://schemas.openxmlformats.org/officeDocument/2006/relationships/pivotTable" Target="../pivotTables/pivotTable14.xml"/><Relationship Id="rId4" Type="http://schemas.openxmlformats.org/officeDocument/2006/relationships/pivotTable" Target="../pivotTables/pivotTable8.xml"/><Relationship Id="rId9" Type="http://schemas.openxmlformats.org/officeDocument/2006/relationships/pivotTable" Target="../pivotTables/pivotTable13.xml"/><Relationship Id="rId14" Type="http://schemas.openxmlformats.org/officeDocument/2006/relationships/pivotTable" Target="../pivotTables/pivotTable18.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C8A55-17B7-4086-BDF8-B33216EC9857}">
  <sheetPr codeName="Sheet4"/>
  <dimension ref="A3:M70"/>
  <sheetViews>
    <sheetView workbookViewId="0">
      <selection activeCell="M56" sqref="M56"/>
    </sheetView>
  </sheetViews>
  <sheetFormatPr defaultRowHeight="14.5" x14ac:dyDescent="0.35"/>
  <cols>
    <col min="1" max="1" width="12.36328125" bestFit="1" customWidth="1"/>
    <col min="2" max="2" width="18.81640625" bestFit="1" customWidth="1"/>
    <col min="3" max="3" width="19.7265625" bestFit="1" customWidth="1"/>
    <col min="4" max="4" width="12.36328125" bestFit="1" customWidth="1"/>
    <col min="5" max="5" width="7.81640625" bestFit="1" customWidth="1"/>
    <col min="6" max="6" width="12.36328125" bestFit="1" customWidth="1"/>
    <col min="7" max="7" width="12" bestFit="1" customWidth="1"/>
    <col min="8" max="8" width="14.81640625" bestFit="1" customWidth="1"/>
    <col min="9" max="9" width="17.1796875" bestFit="1" customWidth="1"/>
    <col min="10" max="10" width="6.81640625" bestFit="1" customWidth="1"/>
    <col min="12" max="12" width="10.54296875" bestFit="1" customWidth="1"/>
  </cols>
  <sheetData>
    <row r="3" spans="1:7" x14ac:dyDescent="0.35">
      <c r="A3" s="1" t="s">
        <v>42</v>
      </c>
      <c r="B3" t="s">
        <v>79</v>
      </c>
    </row>
    <row r="4" spans="1:7" x14ac:dyDescent="0.35">
      <c r="A4" s="2" t="s">
        <v>76</v>
      </c>
      <c r="B4">
        <v>78191</v>
      </c>
    </row>
    <row r="5" spans="1:7" x14ac:dyDescent="0.35">
      <c r="A5" s="2" t="s">
        <v>57</v>
      </c>
      <c r="B5">
        <v>73225</v>
      </c>
      <c r="D5" s="1" t="s">
        <v>42</v>
      </c>
      <c r="E5" t="s">
        <v>80</v>
      </c>
      <c r="F5" t="s">
        <v>81</v>
      </c>
      <c r="G5" t="s">
        <v>82</v>
      </c>
    </row>
    <row r="6" spans="1:7" x14ac:dyDescent="0.35">
      <c r="A6" s="2" t="s">
        <v>77</v>
      </c>
      <c r="B6">
        <v>62693</v>
      </c>
      <c r="D6" s="2" t="s">
        <v>78</v>
      </c>
      <c r="E6">
        <v>8153</v>
      </c>
      <c r="F6">
        <v>2036</v>
      </c>
      <c r="G6" cm="1">
        <f t="array" ref="G6:G21">E6:E21-F6:F21</f>
        <v>6117</v>
      </c>
    </row>
    <row r="7" spans="1:7" x14ac:dyDescent="0.35">
      <c r="A7" s="2" t="s">
        <v>59</v>
      </c>
      <c r="B7">
        <v>31809</v>
      </c>
      <c r="D7" s="2" t="s">
        <v>62</v>
      </c>
      <c r="E7">
        <v>21006</v>
      </c>
      <c r="F7">
        <v>5227</v>
      </c>
      <c r="G7">
        <v>15779</v>
      </c>
    </row>
    <row r="8" spans="1:7" x14ac:dyDescent="0.35">
      <c r="A8" s="2" t="s">
        <v>60</v>
      </c>
      <c r="B8">
        <v>15756</v>
      </c>
      <c r="D8" s="2" t="s">
        <v>63</v>
      </c>
      <c r="E8">
        <v>20777</v>
      </c>
      <c r="F8">
        <v>5248</v>
      </c>
      <c r="G8">
        <v>15529</v>
      </c>
    </row>
    <row r="9" spans="1:7" x14ac:dyDescent="0.35">
      <c r="A9" s="2" t="s">
        <v>43</v>
      </c>
      <c r="B9">
        <v>261674</v>
      </c>
      <c r="D9" s="2" t="s">
        <v>64</v>
      </c>
      <c r="E9">
        <v>20908</v>
      </c>
      <c r="F9">
        <v>5257</v>
      </c>
      <c r="G9">
        <v>15651</v>
      </c>
    </row>
    <row r="10" spans="1:7" x14ac:dyDescent="0.35">
      <c r="D10" s="2" t="s">
        <v>65</v>
      </c>
      <c r="E10">
        <v>21069</v>
      </c>
      <c r="F10">
        <v>5284</v>
      </c>
      <c r="G10">
        <v>15785</v>
      </c>
    </row>
    <row r="11" spans="1:7" x14ac:dyDescent="0.35">
      <c r="D11" s="2" t="s">
        <v>66</v>
      </c>
      <c r="E11">
        <v>45245</v>
      </c>
      <c r="F11">
        <v>11261</v>
      </c>
      <c r="G11">
        <v>33984</v>
      </c>
    </row>
    <row r="12" spans="1:7" x14ac:dyDescent="0.35">
      <c r="D12" s="2" t="s">
        <v>67</v>
      </c>
      <c r="E12">
        <v>83932</v>
      </c>
      <c r="F12">
        <v>21000</v>
      </c>
      <c r="G12">
        <v>62932</v>
      </c>
    </row>
    <row r="13" spans="1:7" x14ac:dyDescent="0.35">
      <c r="D13" s="2" t="s">
        <v>68</v>
      </c>
      <c r="E13">
        <v>84390</v>
      </c>
      <c r="F13">
        <v>21100</v>
      </c>
      <c r="G13">
        <v>63290</v>
      </c>
    </row>
    <row r="14" spans="1:7" x14ac:dyDescent="0.35">
      <c r="D14" s="2" t="s">
        <v>69</v>
      </c>
      <c r="E14">
        <v>83440</v>
      </c>
      <c r="F14">
        <v>20772</v>
      </c>
      <c r="G14">
        <v>62668</v>
      </c>
    </row>
    <row r="15" spans="1:7" x14ac:dyDescent="0.35">
      <c r="D15" s="2" t="s">
        <v>70</v>
      </c>
      <c r="E15">
        <v>84008</v>
      </c>
      <c r="F15">
        <v>21063</v>
      </c>
      <c r="G15">
        <v>62945</v>
      </c>
    </row>
    <row r="16" spans="1:7" x14ac:dyDescent="0.35">
      <c r="D16" s="2" t="s">
        <v>71</v>
      </c>
      <c r="E16">
        <v>91841</v>
      </c>
      <c r="F16">
        <v>22787</v>
      </c>
      <c r="G16">
        <v>69054</v>
      </c>
    </row>
    <row r="17" spans="4:13" x14ac:dyDescent="0.35">
      <c r="D17" s="2" t="s">
        <v>72</v>
      </c>
      <c r="E17">
        <v>104577</v>
      </c>
      <c r="F17">
        <v>26206</v>
      </c>
      <c r="G17">
        <v>78371</v>
      </c>
    </row>
    <row r="18" spans="4:13" x14ac:dyDescent="0.35">
      <c r="D18" s="2" t="s">
        <v>73</v>
      </c>
      <c r="E18">
        <v>105442</v>
      </c>
      <c r="F18">
        <v>26126</v>
      </c>
      <c r="G18">
        <v>79316</v>
      </c>
    </row>
    <row r="19" spans="4:13" x14ac:dyDescent="0.35">
      <c r="D19" s="2" t="s">
        <v>74</v>
      </c>
      <c r="E19">
        <v>104128</v>
      </c>
      <c r="F19">
        <v>26005</v>
      </c>
      <c r="G19">
        <v>78123</v>
      </c>
    </row>
    <row r="20" spans="4:13" x14ac:dyDescent="0.35">
      <c r="D20" s="2" t="s">
        <v>75</v>
      </c>
      <c r="E20">
        <v>105113</v>
      </c>
      <c r="F20">
        <v>26204</v>
      </c>
      <c r="G20">
        <v>78909</v>
      </c>
    </row>
    <row r="21" spans="4:13" x14ac:dyDescent="0.35">
      <c r="D21" s="2" t="s">
        <v>61</v>
      </c>
      <c r="E21">
        <v>64546</v>
      </c>
      <c r="F21">
        <v>16098</v>
      </c>
      <c r="G21">
        <v>48448</v>
      </c>
    </row>
    <row r="22" spans="4:13" x14ac:dyDescent="0.35">
      <c r="D22" s="2" t="s">
        <v>43</v>
      </c>
      <c r="E22">
        <v>1048575</v>
      </c>
      <c r="F22">
        <v>261674</v>
      </c>
    </row>
    <row r="30" spans="4:13" x14ac:dyDescent="0.35">
      <c r="D30" t="s">
        <v>42</v>
      </c>
      <c r="E30" t="s">
        <v>80</v>
      </c>
      <c r="F30" t="s">
        <v>81</v>
      </c>
      <c r="G30" t="s">
        <v>82</v>
      </c>
      <c r="I30" t="s">
        <v>42</v>
      </c>
      <c r="J30" t="s">
        <v>80</v>
      </c>
      <c r="K30" t="s">
        <v>81</v>
      </c>
      <c r="L30" t="s">
        <v>82</v>
      </c>
      <c r="M30" t="s">
        <v>83</v>
      </c>
    </row>
    <row r="31" spans="4:13" x14ac:dyDescent="0.35">
      <c r="D31" s="2" t="s">
        <v>78</v>
      </c>
      <c r="E31">
        <v>8153</v>
      </c>
      <c r="F31">
        <v>2036</v>
      </c>
      <c r="G31" cm="1">
        <f t="array" ref="G31:G46">E31:E46-F31:F46</f>
        <v>6117</v>
      </c>
      <c r="I31" s="2" t="s">
        <v>61</v>
      </c>
      <c r="J31">
        <v>8153</v>
      </c>
      <c r="K31">
        <v>2036</v>
      </c>
      <c r="L31" cm="1">
        <f t="array" ref="L31:L46">J31:J46-K31:K46</f>
        <v>6117</v>
      </c>
      <c r="M31">
        <f>K31-K32/K32</f>
        <v>2035</v>
      </c>
    </row>
    <row r="32" spans="4:13" x14ac:dyDescent="0.35">
      <c r="D32" s="2" t="s">
        <v>62</v>
      </c>
      <c r="E32">
        <v>21006</v>
      </c>
      <c r="F32">
        <v>5227</v>
      </c>
      <c r="G32">
        <v>15779</v>
      </c>
      <c r="I32" s="2" t="s">
        <v>75</v>
      </c>
      <c r="J32">
        <v>21006</v>
      </c>
      <c r="K32">
        <v>5227</v>
      </c>
      <c r="L32">
        <v>15779</v>
      </c>
      <c r="M32">
        <f t="shared" ref="M32:M45" si="0">K32-K33/K33</f>
        <v>5226</v>
      </c>
    </row>
    <row r="33" spans="4:13" x14ac:dyDescent="0.35">
      <c r="D33" s="2" t="s">
        <v>63</v>
      </c>
      <c r="E33">
        <v>20777</v>
      </c>
      <c r="F33">
        <v>5248</v>
      </c>
      <c r="G33">
        <v>15529</v>
      </c>
      <c r="I33" s="2" t="s">
        <v>74</v>
      </c>
      <c r="J33">
        <v>20777</v>
      </c>
      <c r="K33">
        <v>5248</v>
      </c>
      <c r="L33">
        <v>15529</v>
      </c>
      <c r="M33">
        <f t="shared" si="0"/>
        <v>5247</v>
      </c>
    </row>
    <row r="34" spans="4:13" x14ac:dyDescent="0.35">
      <c r="D34" s="2" t="s">
        <v>64</v>
      </c>
      <c r="E34">
        <v>20908</v>
      </c>
      <c r="F34">
        <v>5257</v>
      </c>
      <c r="G34">
        <v>15651</v>
      </c>
      <c r="I34" s="2" t="s">
        <v>73</v>
      </c>
      <c r="J34">
        <v>20908</v>
      </c>
      <c r="K34">
        <v>5257</v>
      </c>
      <c r="L34">
        <v>15651</v>
      </c>
      <c r="M34">
        <f t="shared" si="0"/>
        <v>5256</v>
      </c>
    </row>
    <row r="35" spans="4:13" x14ac:dyDescent="0.35">
      <c r="D35" s="2" t="s">
        <v>65</v>
      </c>
      <c r="E35">
        <v>21069</v>
      </c>
      <c r="F35">
        <v>5284</v>
      </c>
      <c r="G35">
        <v>15785</v>
      </c>
      <c r="I35" s="2" t="s">
        <v>72</v>
      </c>
      <c r="J35">
        <v>21069</v>
      </c>
      <c r="K35">
        <v>5284</v>
      </c>
      <c r="L35">
        <v>15785</v>
      </c>
      <c r="M35">
        <f t="shared" si="0"/>
        <v>5283</v>
      </c>
    </row>
    <row r="36" spans="4:13" x14ac:dyDescent="0.35">
      <c r="D36" s="2" t="s">
        <v>66</v>
      </c>
      <c r="E36">
        <v>45245</v>
      </c>
      <c r="F36">
        <v>11261</v>
      </c>
      <c r="G36">
        <v>33984</v>
      </c>
      <c r="I36" s="2" t="s">
        <v>71</v>
      </c>
      <c r="J36">
        <v>45245</v>
      </c>
      <c r="K36">
        <v>11261</v>
      </c>
      <c r="L36">
        <v>33984</v>
      </c>
      <c r="M36">
        <f t="shared" si="0"/>
        <v>11260</v>
      </c>
    </row>
    <row r="37" spans="4:13" x14ac:dyDescent="0.35">
      <c r="D37" s="2" t="s">
        <v>67</v>
      </c>
      <c r="E37">
        <v>83932</v>
      </c>
      <c r="F37">
        <v>21000</v>
      </c>
      <c r="G37">
        <v>62932</v>
      </c>
      <c r="I37" s="2" t="s">
        <v>70</v>
      </c>
      <c r="J37">
        <v>83932</v>
      </c>
      <c r="K37">
        <v>21000</v>
      </c>
      <c r="L37">
        <v>62932</v>
      </c>
      <c r="M37">
        <f t="shared" si="0"/>
        <v>20999</v>
      </c>
    </row>
    <row r="38" spans="4:13" x14ac:dyDescent="0.35">
      <c r="D38" s="2" t="s">
        <v>68</v>
      </c>
      <c r="E38">
        <v>84390</v>
      </c>
      <c r="F38">
        <v>21100</v>
      </c>
      <c r="G38">
        <v>63290</v>
      </c>
      <c r="I38" s="2" t="s">
        <v>69</v>
      </c>
      <c r="J38">
        <v>84390</v>
      </c>
      <c r="K38">
        <v>21100</v>
      </c>
      <c r="L38">
        <v>63290</v>
      </c>
      <c r="M38">
        <f t="shared" si="0"/>
        <v>21099</v>
      </c>
    </row>
    <row r="39" spans="4:13" x14ac:dyDescent="0.35">
      <c r="D39" s="2" t="s">
        <v>69</v>
      </c>
      <c r="E39">
        <v>83440</v>
      </c>
      <c r="F39">
        <v>20772</v>
      </c>
      <c r="G39">
        <v>62668</v>
      </c>
      <c r="I39" s="2" t="s">
        <v>68</v>
      </c>
      <c r="J39">
        <v>83440</v>
      </c>
      <c r="K39">
        <v>20772</v>
      </c>
      <c r="L39">
        <v>62668</v>
      </c>
      <c r="M39">
        <f t="shared" si="0"/>
        <v>20771</v>
      </c>
    </row>
    <row r="40" spans="4:13" x14ac:dyDescent="0.35">
      <c r="D40" s="2" t="s">
        <v>70</v>
      </c>
      <c r="E40">
        <v>84008</v>
      </c>
      <c r="F40">
        <v>21063</v>
      </c>
      <c r="G40">
        <v>62945</v>
      </c>
      <c r="I40" s="2" t="s">
        <v>67</v>
      </c>
      <c r="J40">
        <v>84008</v>
      </c>
      <c r="K40">
        <v>21063</v>
      </c>
      <c r="L40">
        <v>62945</v>
      </c>
      <c r="M40">
        <f t="shared" si="0"/>
        <v>21062</v>
      </c>
    </row>
    <row r="41" spans="4:13" x14ac:dyDescent="0.35">
      <c r="D41" s="2" t="s">
        <v>71</v>
      </c>
      <c r="E41">
        <v>91841</v>
      </c>
      <c r="F41">
        <v>22787</v>
      </c>
      <c r="G41">
        <v>69054</v>
      </c>
      <c r="I41" s="2" t="s">
        <v>66</v>
      </c>
      <c r="J41">
        <v>91841</v>
      </c>
      <c r="K41">
        <v>22787</v>
      </c>
      <c r="L41">
        <v>69054</v>
      </c>
      <c r="M41">
        <f t="shared" si="0"/>
        <v>22786</v>
      </c>
    </row>
    <row r="42" spans="4:13" x14ac:dyDescent="0.35">
      <c r="D42" s="2" t="s">
        <v>72</v>
      </c>
      <c r="E42">
        <v>104577</v>
      </c>
      <c r="F42">
        <v>26206</v>
      </c>
      <c r="G42">
        <v>78371</v>
      </c>
      <c r="I42" s="2" t="s">
        <v>65</v>
      </c>
      <c r="J42">
        <v>104577</v>
      </c>
      <c r="K42">
        <v>26206</v>
      </c>
      <c r="L42">
        <v>78371</v>
      </c>
      <c r="M42">
        <f t="shared" si="0"/>
        <v>26205</v>
      </c>
    </row>
    <row r="43" spans="4:13" x14ac:dyDescent="0.35">
      <c r="D43" s="2" t="s">
        <v>73</v>
      </c>
      <c r="E43">
        <v>105442</v>
      </c>
      <c r="F43">
        <v>26126</v>
      </c>
      <c r="G43">
        <v>79316</v>
      </c>
      <c r="I43" s="2" t="s">
        <v>64</v>
      </c>
      <c r="J43">
        <v>105442</v>
      </c>
      <c r="K43">
        <v>26126</v>
      </c>
      <c r="L43">
        <v>79316</v>
      </c>
      <c r="M43">
        <f t="shared" si="0"/>
        <v>26125</v>
      </c>
    </row>
    <row r="44" spans="4:13" x14ac:dyDescent="0.35">
      <c r="D44" s="2" t="s">
        <v>74</v>
      </c>
      <c r="E44">
        <v>104128</v>
      </c>
      <c r="F44">
        <v>26005</v>
      </c>
      <c r="G44">
        <v>78123</v>
      </c>
      <c r="I44" s="2" t="s">
        <v>63</v>
      </c>
      <c r="J44">
        <v>104128</v>
      </c>
      <c r="K44">
        <v>26005</v>
      </c>
      <c r="L44">
        <v>78123</v>
      </c>
      <c r="M44">
        <f t="shared" si="0"/>
        <v>26004</v>
      </c>
    </row>
    <row r="45" spans="4:13" x14ac:dyDescent="0.35">
      <c r="D45" s="2" t="s">
        <v>75</v>
      </c>
      <c r="E45">
        <v>105113</v>
      </c>
      <c r="F45">
        <v>26204</v>
      </c>
      <c r="G45">
        <v>78909</v>
      </c>
      <c r="I45" s="2" t="s">
        <v>62</v>
      </c>
      <c r="J45">
        <v>105113</v>
      </c>
      <c r="K45">
        <v>26204</v>
      </c>
      <c r="L45">
        <v>78909</v>
      </c>
      <c r="M45">
        <f t="shared" si="0"/>
        <v>26203</v>
      </c>
    </row>
    <row r="46" spans="4:13" x14ac:dyDescent="0.35">
      <c r="D46" s="2" t="s">
        <v>61</v>
      </c>
      <c r="E46">
        <v>64546</v>
      </c>
      <c r="F46">
        <v>16098</v>
      </c>
      <c r="G46">
        <v>48448</v>
      </c>
      <c r="I46" s="2" t="s">
        <v>78</v>
      </c>
      <c r="J46">
        <v>64546</v>
      </c>
      <c r="K46">
        <v>16098</v>
      </c>
      <c r="L46">
        <v>48448</v>
      </c>
      <c r="M46">
        <f>K46-K47</f>
        <v>16098</v>
      </c>
    </row>
    <row r="52" spans="2:9" x14ac:dyDescent="0.35">
      <c r="F52" s="1" t="s">
        <v>42</v>
      </c>
      <c r="G52" t="s">
        <v>84</v>
      </c>
      <c r="H52" t="s">
        <v>85</v>
      </c>
      <c r="I52" t="s">
        <v>86</v>
      </c>
    </row>
    <row r="53" spans="2:9" x14ac:dyDescent="0.35">
      <c r="B53" s="1" t="s">
        <v>42</v>
      </c>
      <c r="C53" t="s">
        <v>47</v>
      </c>
      <c r="F53" s="2" t="s">
        <v>78</v>
      </c>
      <c r="G53">
        <v>8153</v>
      </c>
      <c r="H53">
        <v>2036</v>
      </c>
      <c r="I53">
        <v>6117</v>
      </c>
    </row>
    <row r="54" spans="2:9" x14ac:dyDescent="0.35">
      <c r="B54" s="2">
        <v>2010</v>
      </c>
      <c r="C54">
        <v>8153</v>
      </c>
      <c r="F54" s="2" t="s">
        <v>62</v>
      </c>
      <c r="G54">
        <v>21006</v>
      </c>
      <c r="H54">
        <v>5227</v>
      </c>
      <c r="I54">
        <v>15779</v>
      </c>
    </row>
    <row r="55" spans="2:9" x14ac:dyDescent="0.35">
      <c r="B55" s="2">
        <v>2011</v>
      </c>
      <c r="C55">
        <v>21006</v>
      </c>
      <c r="F55" s="2" t="s">
        <v>63</v>
      </c>
      <c r="G55">
        <v>20777</v>
      </c>
      <c r="H55">
        <v>5248</v>
      </c>
      <c r="I55">
        <v>15529</v>
      </c>
    </row>
    <row r="56" spans="2:9" x14ac:dyDescent="0.35">
      <c r="B56" s="2">
        <v>2012</v>
      </c>
      <c r="C56">
        <v>20777</v>
      </c>
      <c r="F56" s="2" t="s">
        <v>64</v>
      </c>
      <c r="G56">
        <v>20908</v>
      </c>
      <c r="H56">
        <v>5257</v>
      </c>
      <c r="I56">
        <v>15651</v>
      </c>
    </row>
    <row r="57" spans="2:9" x14ac:dyDescent="0.35">
      <c r="B57" s="2">
        <v>2013</v>
      </c>
      <c r="C57">
        <v>20908</v>
      </c>
      <c r="F57" s="2" t="s">
        <v>65</v>
      </c>
      <c r="G57">
        <v>21069</v>
      </c>
      <c r="H57">
        <v>5284</v>
      </c>
      <c r="I57">
        <v>15785</v>
      </c>
    </row>
    <row r="58" spans="2:9" x14ac:dyDescent="0.35">
      <c r="B58" s="2">
        <v>2014</v>
      </c>
      <c r="C58">
        <v>21069</v>
      </c>
      <c r="F58" s="2" t="s">
        <v>66</v>
      </c>
      <c r="G58">
        <v>45245</v>
      </c>
      <c r="H58">
        <v>11261</v>
      </c>
      <c r="I58">
        <v>33984</v>
      </c>
    </row>
    <row r="59" spans="2:9" x14ac:dyDescent="0.35">
      <c r="B59" s="2">
        <v>2015</v>
      </c>
      <c r="C59">
        <v>45245</v>
      </c>
      <c r="F59" s="2" t="s">
        <v>67</v>
      </c>
      <c r="G59">
        <v>83932</v>
      </c>
      <c r="H59">
        <v>21000</v>
      </c>
      <c r="I59">
        <v>62932</v>
      </c>
    </row>
    <row r="60" spans="2:9" x14ac:dyDescent="0.35">
      <c r="B60" s="2">
        <v>2016</v>
      </c>
      <c r="C60">
        <v>83932</v>
      </c>
      <c r="F60" s="2" t="s">
        <v>68</v>
      </c>
      <c r="G60">
        <v>84390</v>
      </c>
      <c r="H60">
        <v>21100</v>
      </c>
      <c r="I60">
        <v>63290</v>
      </c>
    </row>
    <row r="61" spans="2:9" x14ac:dyDescent="0.35">
      <c r="B61" s="2">
        <v>2017</v>
      </c>
      <c r="C61">
        <v>84390</v>
      </c>
      <c r="F61" s="2" t="s">
        <v>69</v>
      </c>
      <c r="G61">
        <v>83440</v>
      </c>
      <c r="H61">
        <v>20772</v>
      </c>
      <c r="I61">
        <v>62668</v>
      </c>
    </row>
    <row r="62" spans="2:9" x14ac:dyDescent="0.35">
      <c r="B62" s="2">
        <v>2018</v>
      </c>
      <c r="C62">
        <v>83440</v>
      </c>
      <c r="F62" s="2" t="s">
        <v>70</v>
      </c>
      <c r="G62">
        <v>84008</v>
      </c>
      <c r="H62">
        <v>21063</v>
      </c>
      <c r="I62">
        <v>62945</v>
      </c>
    </row>
    <row r="63" spans="2:9" x14ac:dyDescent="0.35">
      <c r="B63" s="2">
        <v>2019</v>
      </c>
      <c r="C63">
        <v>84008</v>
      </c>
      <c r="F63" s="2" t="s">
        <v>71</v>
      </c>
      <c r="G63">
        <v>91841</v>
      </c>
      <c r="H63">
        <v>22787</v>
      </c>
      <c r="I63">
        <v>69054</v>
      </c>
    </row>
    <row r="64" spans="2:9" x14ac:dyDescent="0.35">
      <c r="B64" s="2">
        <v>2020</v>
      </c>
      <c r="C64">
        <v>91841</v>
      </c>
      <c r="F64" s="2" t="s">
        <v>72</v>
      </c>
      <c r="G64">
        <v>104577</v>
      </c>
      <c r="H64">
        <v>26206</v>
      </c>
      <c r="I64">
        <v>78371</v>
      </c>
    </row>
    <row r="65" spans="2:9" x14ac:dyDescent="0.35">
      <c r="B65" s="2">
        <v>2021</v>
      </c>
      <c r="C65">
        <v>104577</v>
      </c>
      <c r="F65" s="2" t="s">
        <v>73</v>
      </c>
      <c r="G65">
        <v>105442</v>
      </c>
      <c r="H65">
        <v>26126</v>
      </c>
      <c r="I65">
        <v>79316</v>
      </c>
    </row>
    <row r="66" spans="2:9" x14ac:dyDescent="0.35">
      <c r="B66" s="2">
        <v>2022</v>
      </c>
      <c r="C66">
        <v>105442</v>
      </c>
      <c r="F66" s="2" t="s">
        <v>74</v>
      </c>
      <c r="G66">
        <v>104128</v>
      </c>
      <c r="H66">
        <v>26005</v>
      </c>
      <c r="I66">
        <v>78123</v>
      </c>
    </row>
    <row r="67" spans="2:9" x14ac:dyDescent="0.35">
      <c r="B67" s="2">
        <v>2023</v>
      </c>
      <c r="C67">
        <v>104128</v>
      </c>
      <c r="E67">
        <f>GETPIVOTDATA("Employee_ID",$B$53,"Year",2024)-GETPIVOTDATA("Employee_ID",$B$53,"Year",2023)</f>
        <v>985</v>
      </c>
      <c r="F67" s="2" t="s">
        <v>75</v>
      </c>
      <c r="G67">
        <v>105113</v>
      </c>
      <c r="H67">
        <v>26204</v>
      </c>
      <c r="I67">
        <v>78909</v>
      </c>
    </row>
    <row r="68" spans="2:9" x14ac:dyDescent="0.35">
      <c r="B68" s="2">
        <v>2024</v>
      </c>
      <c r="C68">
        <v>105113</v>
      </c>
      <c r="F68" s="2" t="s">
        <v>61</v>
      </c>
      <c r="G68">
        <v>64546</v>
      </c>
      <c r="H68">
        <v>16098</v>
      </c>
      <c r="I68">
        <v>48448</v>
      </c>
    </row>
    <row r="69" spans="2:9" x14ac:dyDescent="0.35">
      <c r="B69" s="2">
        <v>2025</v>
      </c>
      <c r="C69">
        <v>64546</v>
      </c>
      <c r="F69" s="2" t="s">
        <v>43</v>
      </c>
      <c r="G69">
        <v>1048575</v>
      </c>
      <c r="H69">
        <v>261674</v>
      </c>
      <c r="I69">
        <v>786901</v>
      </c>
    </row>
    <row r="70" spans="2:9" x14ac:dyDescent="0.35">
      <c r="B70" s="2" t="s">
        <v>43</v>
      </c>
      <c r="C70">
        <v>1048575</v>
      </c>
    </row>
  </sheetData>
  <sortState xmlns:xlrd2="http://schemas.microsoft.com/office/spreadsheetml/2017/richdata2" ref="I31:I46">
    <sortCondition descending="1" ref="I31:I46"/>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29F52-9D93-4B03-B9E8-660820A1E56E}">
  <sheetPr codeName="Sheet3"/>
  <dimension ref="A1:H74"/>
  <sheetViews>
    <sheetView tabSelected="1" workbookViewId="0">
      <selection activeCell="G6" sqref="G6"/>
    </sheetView>
  </sheetViews>
  <sheetFormatPr defaultRowHeight="14.5" x14ac:dyDescent="0.35"/>
  <cols>
    <col min="1" max="1" width="12.36328125" bestFit="1" customWidth="1"/>
    <col min="2" max="2" width="27.6328125" bestFit="1" customWidth="1"/>
    <col min="3" max="3" width="10.453125" bestFit="1" customWidth="1"/>
    <col min="4" max="4" width="19.26953125" bestFit="1" customWidth="1"/>
    <col min="5" max="5" width="19.7265625" bestFit="1" customWidth="1"/>
    <col min="6" max="6" width="12.36328125" bestFit="1" customWidth="1"/>
    <col min="7" max="8" width="19.7265625" bestFit="1" customWidth="1"/>
    <col min="9" max="9" width="4.453125" bestFit="1" customWidth="1"/>
    <col min="10" max="10" width="4.6328125" bestFit="1" customWidth="1"/>
    <col min="11" max="11" width="3.90625" bestFit="1" customWidth="1"/>
    <col min="12" max="12" width="6.6328125" bestFit="1" customWidth="1"/>
    <col min="13" max="13" width="10" bestFit="1" customWidth="1"/>
    <col min="14" max="14" width="7.6328125" bestFit="1" customWidth="1"/>
    <col min="15" max="15" width="9.54296875" bestFit="1" customWidth="1"/>
    <col min="16" max="16" width="9.36328125" bestFit="1" customWidth="1"/>
    <col min="17" max="17" width="10.7265625" bestFit="1" customWidth="1"/>
    <col min="18" max="18" width="13.08984375" bestFit="1" customWidth="1"/>
    <col min="19" max="19" width="18.54296875" bestFit="1" customWidth="1"/>
    <col min="20" max="20" width="18" bestFit="1" customWidth="1"/>
    <col min="21" max="21" width="17.6328125" bestFit="1" customWidth="1"/>
    <col min="22" max="22" width="18.7265625" bestFit="1" customWidth="1"/>
    <col min="23" max="23" width="16.54296875" bestFit="1" customWidth="1"/>
    <col min="24" max="24" width="15.90625" bestFit="1" customWidth="1"/>
    <col min="25" max="25" width="12.26953125" bestFit="1" customWidth="1"/>
    <col min="26" max="26" width="13.453125" bestFit="1" customWidth="1"/>
    <col min="27" max="27" width="12.26953125" bestFit="1" customWidth="1"/>
    <col min="28" max="28" width="16.1796875" bestFit="1" customWidth="1"/>
    <col min="29" max="29" width="19.6328125" bestFit="1" customWidth="1"/>
    <col min="30" max="30" width="24.26953125" bestFit="1" customWidth="1"/>
    <col min="31" max="31" width="10.7265625" bestFit="1" customWidth="1"/>
  </cols>
  <sheetData>
    <row r="1" spans="1:8" x14ac:dyDescent="0.35">
      <c r="B1" t="s">
        <v>47</v>
      </c>
      <c r="D1" t="s">
        <v>46</v>
      </c>
      <c r="F1" t="s">
        <v>48</v>
      </c>
    </row>
    <row r="2" spans="1:8" x14ac:dyDescent="0.35">
      <c r="B2">
        <v>1048575</v>
      </c>
      <c r="D2" s="4">
        <v>896887.17770688795</v>
      </c>
      <c r="F2" s="5">
        <v>2.9999332427341869</v>
      </c>
    </row>
    <row r="3" spans="1:8" x14ac:dyDescent="0.35">
      <c r="A3" t="s">
        <v>45</v>
      </c>
      <c r="D3" s="1" t="s">
        <v>42</v>
      </c>
      <c r="E3" t="s">
        <v>46</v>
      </c>
    </row>
    <row r="4" spans="1:8" x14ac:dyDescent="0.35">
      <c r="A4">
        <v>3145655</v>
      </c>
      <c r="D4" s="2" t="s">
        <v>7</v>
      </c>
      <c r="E4" s="3">
        <v>742924.58668726939</v>
      </c>
      <c r="G4" s="1" t="s">
        <v>42</v>
      </c>
      <c r="H4" t="s">
        <v>47</v>
      </c>
    </row>
    <row r="5" spans="1:8" x14ac:dyDescent="0.35">
      <c r="D5" s="2" t="s">
        <v>9</v>
      </c>
      <c r="E5" s="3">
        <v>754691.12871953426</v>
      </c>
      <c r="G5" s="2" t="s">
        <v>6</v>
      </c>
      <c r="H5">
        <v>734439</v>
      </c>
    </row>
    <row r="6" spans="1:8" x14ac:dyDescent="0.35">
      <c r="D6" s="2" t="s">
        <v>4</v>
      </c>
      <c r="E6" s="3">
        <v>769819.76198330068</v>
      </c>
      <c r="G6" s="2" t="s">
        <v>2</v>
      </c>
      <c r="H6">
        <v>209342</v>
      </c>
    </row>
    <row r="7" spans="1:8" x14ac:dyDescent="0.35">
      <c r="D7" s="2" t="s">
        <v>13</v>
      </c>
      <c r="E7" s="3">
        <v>792601.1381751016</v>
      </c>
      <c r="G7" s="2" t="s">
        <v>27</v>
      </c>
      <c r="H7">
        <v>52462</v>
      </c>
    </row>
    <row r="8" spans="1:8" x14ac:dyDescent="0.35">
      <c r="D8" s="2" t="s">
        <v>25</v>
      </c>
      <c r="E8" s="3">
        <v>800564.06713801227</v>
      </c>
      <c r="G8" s="2" t="s">
        <v>24</v>
      </c>
      <c r="H8">
        <v>52332</v>
      </c>
    </row>
    <row r="9" spans="1:8" x14ac:dyDescent="0.35">
      <c r="D9" s="2" t="s">
        <v>11</v>
      </c>
      <c r="E9" s="3">
        <v>940482.5371268692</v>
      </c>
      <c r="G9" s="2" t="s">
        <v>43</v>
      </c>
      <c r="H9">
        <v>1048575</v>
      </c>
    </row>
    <row r="10" spans="1:8" x14ac:dyDescent="0.35">
      <c r="D10" s="2" t="s">
        <v>0</v>
      </c>
      <c r="E10" s="3">
        <v>1130479.8316721052</v>
      </c>
    </row>
    <row r="11" spans="1:8" x14ac:dyDescent="0.35">
      <c r="D11" s="2" t="s">
        <v>43</v>
      </c>
      <c r="E11" s="3">
        <v>896887.17770688795</v>
      </c>
    </row>
    <row r="12" spans="1:8" x14ac:dyDescent="0.35">
      <c r="G12" s="1" t="s">
        <v>42</v>
      </c>
      <c r="H12" t="s">
        <v>44</v>
      </c>
    </row>
    <row r="13" spans="1:8" x14ac:dyDescent="0.35">
      <c r="G13" s="2" t="s">
        <v>51</v>
      </c>
      <c r="H13">
        <v>313485</v>
      </c>
    </row>
    <row r="14" spans="1:8" x14ac:dyDescent="0.35">
      <c r="A14" s="1" t="s">
        <v>42</v>
      </c>
      <c r="B14" t="s">
        <v>48</v>
      </c>
      <c r="D14" s="1" t="s">
        <v>42</v>
      </c>
      <c r="E14" t="s">
        <v>47</v>
      </c>
      <c r="G14" s="2" t="s">
        <v>52</v>
      </c>
      <c r="H14">
        <v>293861</v>
      </c>
    </row>
    <row r="15" spans="1:8" x14ac:dyDescent="0.35">
      <c r="A15" s="2" t="s">
        <v>51</v>
      </c>
      <c r="B15" s="3">
        <v>3.0046605100722523</v>
      </c>
      <c r="D15" s="2">
        <v>2010</v>
      </c>
      <c r="E15">
        <v>8153</v>
      </c>
      <c r="G15" s="2" t="s">
        <v>53</v>
      </c>
      <c r="H15">
        <v>251417</v>
      </c>
    </row>
    <row r="16" spans="1:8" x14ac:dyDescent="0.35">
      <c r="A16" s="2" t="s">
        <v>52</v>
      </c>
      <c r="B16" s="3">
        <v>2.9952324398269932</v>
      </c>
      <c r="D16" s="2" t="s">
        <v>62</v>
      </c>
      <c r="E16">
        <v>21006</v>
      </c>
      <c r="G16" s="2" t="s">
        <v>54</v>
      </c>
      <c r="H16">
        <v>126834</v>
      </c>
    </row>
    <row r="17" spans="1:8" x14ac:dyDescent="0.35">
      <c r="A17" s="2" t="s">
        <v>53</v>
      </c>
      <c r="B17" s="3">
        <v>3.0005647987208501</v>
      </c>
      <c r="D17" s="2" t="s">
        <v>63</v>
      </c>
      <c r="E17">
        <v>20777</v>
      </c>
      <c r="G17" s="2" t="s">
        <v>55</v>
      </c>
      <c r="H17">
        <v>62978</v>
      </c>
    </row>
    <row r="18" spans="1:8" x14ac:dyDescent="0.35">
      <c r="A18" s="2" t="s">
        <v>54</v>
      </c>
      <c r="B18" s="3">
        <v>2.9970985697841273</v>
      </c>
      <c r="D18" s="2" t="s">
        <v>64</v>
      </c>
      <c r="E18">
        <v>20908</v>
      </c>
      <c r="G18" s="2" t="s">
        <v>43</v>
      </c>
      <c r="H18">
        <v>1048575</v>
      </c>
    </row>
    <row r="19" spans="1:8" x14ac:dyDescent="0.35">
      <c r="A19" s="2" t="s">
        <v>55</v>
      </c>
      <c r="B19" s="3">
        <v>3.0015243418336564</v>
      </c>
      <c r="D19" s="2" t="s">
        <v>65</v>
      </c>
      <c r="E19">
        <v>21069</v>
      </c>
    </row>
    <row r="20" spans="1:8" x14ac:dyDescent="0.35">
      <c r="A20" s="2" t="s">
        <v>43</v>
      </c>
      <c r="B20" s="3">
        <v>2.9999332427341869</v>
      </c>
      <c r="D20" s="2" t="s">
        <v>66</v>
      </c>
      <c r="E20">
        <v>45245</v>
      </c>
    </row>
    <row r="21" spans="1:8" x14ac:dyDescent="0.35">
      <c r="D21" s="2" t="s">
        <v>67</v>
      </c>
      <c r="E21">
        <v>83932</v>
      </c>
    </row>
    <row r="22" spans="1:8" x14ac:dyDescent="0.35">
      <c r="D22" s="2" t="s">
        <v>68</v>
      </c>
      <c r="E22">
        <v>84390</v>
      </c>
    </row>
    <row r="23" spans="1:8" x14ac:dyDescent="0.35">
      <c r="D23" s="2" t="s">
        <v>69</v>
      </c>
      <c r="E23">
        <v>83440</v>
      </c>
    </row>
    <row r="24" spans="1:8" x14ac:dyDescent="0.35">
      <c r="D24" s="2" t="s">
        <v>70</v>
      </c>
      <c r="E24">
        <v>84008</v>
      </c>
    </row>
    <row r="25" spans="1:8" x14ac:dyDescent="0.35">
      <c r="D25" s="2" t="s">
        <v>71</v>
      </c>
      <c r="E25">
        <v>91841</v>
      </c>
    </row>
    <row r="26" spans="1:8" x14ac:dyDescent="0.35">
      <c r="D26" s="2" t="s">
        <v>72</v>
      </c>
      <c r="E26">
        <v>104577</v>
      </c>
    </row>
    <row r="27" spans="1:8" x14ac:dyDescent="0.35">
      <c r="D27" s="2" t="s">
        <v>73</v>
      </c>
      <c r="E27">
        <v>105442</v>
      </c>
    </row>
    <row r="28" spans="1:8" x14ac:dyDescent="0.35">
      <c r="D28" s="2" t="s">
        <v>74</v>
      </c>
      <c r="E28">
        <v>104128</v>
      </c>
    </row>
    <row r="29" spans="1:8" x14ac:dyDescent="0.35">
      <c r="D29" s="2" t="s">
        <v>75</v>
      </c>
      <c r="E29">
        <v>105113</v>
      </c>
    </row>
    <row r="30" spans="1:8" x14ac:dyDescent="0.35">
      <c r="D30" s="2" t="s">
        <v>61</v>
      </c>
      <c r="E30">
        <v>64546</v>
      </c>
    </row>
    <row r="31" spans="1:8" x14ac:dyDescent="0.35">
      <c r="D31" s="2" t="s">
        <v>43</v>
      </c>
      <c r="E31">
        <v>1048575</v>
      </c>
    </row>
    <row r="33" spans="1:7" x14ac:dyDescent="0.35">
      <c r="A33" s="1" t="s">
        <v>42</v>
      </c>
      <c r="B33" t="s">
        <v>49</v>
      </c>
    </row>
    <row r="34" spans="1:7" x14ac:dyDescent="0.35">
      <c r="A34" s="2" t="s">
        <v>25</v>
      </c>
      <c r="B34">
        <v>52191</v>
      </c>
      <c r="F34" s="1" t="s">
        <v>42</v>
      </c>
      <c r="G34" t="s">
        <v>47</v>
      </c>
    </row>
    <row r="35" spans="1:7" x14ac:dyDescent="0.35">
      <c r="A35" s="2" t="s">
        <v>7</v>
      </c>
      <c r="B35">
        <v>83484</v>
      </c>
      <c r="F35" s="2" t="s">
        <v>3</v>
      </c>
      <c r="G35">
        <v>628436</v>
      </c>
    </row>
    <row r="36" spans="1:7" x14ac:dyDescent="0.35">
      <c r="A36" s="2" t="s">
        <v>11</v>
      </c>
      <c r="B36">
        <v>104722</v>
      </c>
      <c r="F36" s="2" t="s">
        <v>15</v>
      </c>
      <c r="G36">
        <v>420139</v>
      </c>
    </row>
    <row r="37" spans="1:7" x14ac:dyDescent="0.35">
      <c r="A37" s="2" t="s">
        <v>4</v>
      </c>
      <c r="B37">
        <v>126113</v>
      </c>
      <c r="F37" s="2" t="s">
        <v>43</v>
      </c>
      <c r="G37">
        <v>1048575</v>
      </c>
    </row>
    <row r="38" spans="1:7" x14ac:dyDescent="0.35">
      <c r="A38" s="2" t="s">
        <v>9</v>
      </c>
      <c r="B38">
        <v>157513</v>
      </c>
    </row>
    <row r="39" spans="1:7" x14ac:dyDescent="0.35">
      <c r="A39" s="2" t="s">
        <v>13</v>
      </c>
      <c r="B39">
        <v>209524</v>
      </c>
    </row>
    <row r="40" spans="1:7" x14ac:dyDescent="0.35">
      <c r="A40" s="2" t="s">
        <v>0</v>
      </c>
      <c r="B40">
        <v>315028</v>
      </c>
    </row>
    <row r="41" spans="1:7" x14ac:dyDescent="0.35">
      <c r="A41" s="2" t="s">
        <v>43</v>
      </c>
      <c r="B41">
        <v>1048575</v>
      </c>
    </row>
    <row r="42" spans="1:7" x14ac:dyDescent="0.35">
      <c r="F42" s="1" t="s">
        <v>42</v>
      </c>
      <c r="G42" t="s">
        <v>50</v>
      </c>
    </row>
    <row r="43" spans="1:7" x14ac:dyDescent="0.35">
      <c r="F43" s="2">
        <v>2010</v>
      </c>
      <c r="G43">
        <v>8153</v>
      </c>
    </row>
    <row r="44" spans="1:7" x14ac:dyDescent="0.35">
      <c r="A44" s="1" t="s">
        <v>42</v>
      </c>
      <c r="B44" t="s">
        <v>46</v>
      </c>
      <c r="F44" s="2">
        <v>2011</v>
      </c>
      <c r="G44">
        <v>21006</v>
      </c>
    </row>
    <row r="45" spans="1:7" x14ac:dyDescent="0.35">
      <c r="A45" s="2" t="s">
        <v>14</v>
      </c>
      <c r="B45" s="4">
        <v>800025.05192908947</v>
      </c>
      <c r="F45" s="2">
        <v>2012</v>
      </c>
      <c r="G45">
        <v>20777</v>
      </c>
    </row>
    <row r="46" spans="1:7" x14ac:dyDescent="0.35">
      <c r="A46" s="2" t="s">
        <v>28</v>
      </c>
      <c r="B46" s="4">
        <v>650246.67971116654</v>
      </c>
      <c r="F46" s="2">
        <v>2013</v>
      </c>
      <c r="G46">
        <v>20908</v>
      </c>
    </row>
    <row r="47" spans="1:7" x14ac:dyDescent="0.35">
      <c r="A47" s="2" t="s">
        <v>39</v>
      </c>
      <c r="B47" s="4">
        <v>802426.0919117647</v>
      </c>
      <c r="F47" s="2">
        <v>2014</v>
      </c>
      <c r="G47">
        <v>21069</v>
      </c>
    </row>
    <row r="48" spans="1:7" x14ac:dyDescent="0.35">
      <c r="A48" s="2" t="s">
        <v>36</v>
      </c>
      <c r="B48" s="4">
        <v>1251137.2891171607</v>
      </c>
      <c r="F48" s="2">
        <v>2015</v>
      </c>
      <c r="G48">
        <v>45245</v>
      </c>
    </row>
    <row r="49" spans="1:7" x14ac:dyDescent="0.35">
      <c r="A49" s="2" t="s">
        <v>38</v>
      </c>
      <c r="B49" s="4">
        <v>796692.99738757231</v>
      </c>
      <c r="F49" s="2">
        <v>2016</v>
      </c>
      <c r="G49">
        <v>83932</v>
      </c>
    </row>
    <row r="50" spans="1:7" x14ac:dyDescent="0.35">
      <c r="A50" s="2" t="s">
        <v>22</v>
      </c>
      <c r="B50" s="4">
        <v>801839.61242979765</v>
      </c>
      <c r="F50" s="2">
        <v>2017</v>
      </c>
      <c r="G50">
        <v>84390</v>
      </c>
    </row>
    <row r="51" spans="1:7" x14ac:dyDescent="0.35">
      <c r="A51" s="2" t="s">
        <v>35</v>
      </c>
      <c r="B51" s="4">
        <v>801582.0742820676</v>
      </c>
      <c r="F51" s="2">
        <v>2018</v>
      </c>
      <c r="G51">
        <v>83440</v>
      </c>
    </row>
    <row r="52" spans="1:7" x14ac:dyDescent="0.35">
      <c r="A52" s="2" t="s">
        <v>31</v>
      </c>
      <c r="B52" s="4">
        <v>800130.39646099298</v>
      </c>
      <c r="F52" s="2">
        <v>2019</v>
      </c>
      <c r="G52">
        <v>84008</v>
      </c>
    </row>
    <row r="53" spans="1:7" x14ac:dyDescent="0.35">
      <c r="A53" s="2" t="s">
        <v>21</v>
      </c>
      <c r="B53" s="4">
        <v>800479.45133812213</v>
      </c>
      <c r="F53" s="2">
        <v>2020</v>
      </c>
      <c r="G53">
        <v>91841</v>
      </c>
    </row>
    <row r="54" spans="1:7" x14ac:dyDescent="0.35">
      <c r="A54" s="2" t="s">
        <v>12</v>
      </c>
      <c r="B54" s="4">
        <v>1741848.1834668375</v>
      </c>
      <c r="F54" s="2">
        <v>2021</v>
      </c>
      <c r="G54">
        <v>104577</v>
      </c>
    </row>
    <row r="55" spans="1:7" x14ac:dyDescent="0.35">
      <c r="A55" s="2" t="s">
        <v>16</v>
      </c>
      <c r="B55" s="4">
        <v>1052371.0818010296</v>
      </c>
      <c r="F55" s="2">
        <v>2022</v>
      </c>
      <c r="G55">
        <v>105442</v>
      </c>
    </row>
    <row r="56" spans="1:7" x14ac:dyDescent="0.35">
      <c r="A56" s="2" t="s">
        <v>40</v>
      </c>
      <c r="B56" s="4">
        <v>801014.8609600378</v>
      </c>
      <c r="F56" s="2">
        <v>2023</v>
      </c>
      <c r="G56">
        <v>104128</v>
      </c>
    </row>
    <row r="57" spans="1:7" x14ac:dyDescent="0.35">
      <c r="A57" s="2" t="s">
        <v>19</v>
      </c>
      <c r="B57" s="4">
        <v>550353.08314914478</v>
      </c>
      <c r="F57" s="2">
        <v>2024</v>
      </c>
      <c r="G57">
        <v>105113</v>
      </c>
    </row>
    <row r="58" spans="1:7" x14ac:dyDescent="0.35">
      <c r="A58" s="2" t="s">
        <v>8</v>
      </c>
      <c r="B58" s="4">
        <v>1252528.5844333549</v>
      </c>
      <c r="F58" s="2">
        <v>2025</v>
      </c>
      <c r="G58">
        <v>64546</v>
      </c>
    </row>
    <row r="59" spans="1:7" x14ac:dyDescent="0.35">
      <c r="A59" s="2" t="s">
        <v>41</v>
      </c>
      <c r="B59" s="4">
        <v>796683.97158878506</v>
      </c>
      <c r="F59" s="2" t="s">
        <v>43</v>
      </c>
      <c r="G59">
        <v>1048575</v>
      </c>
    </row>
    <row r="60" spans="1:7" x14ac:dyDescent="0.35">
      <c r="A60" s="2" t="s">
        <v>29</v>
      </c>
      <c r="B60" s="4">
        <v>2100885.0826779087</v>
      </c>
    </row>
    <row r="61" spans="1:7" x14ac:dyDescent="0.35">
      <c r="A61" s="2" t="s">
        <v>37</v>
      </c>
      <c r="B61" s="4">
        <v>800413.72415564407</v>
      </c>
    </row>
    <row r="62" spans="1:7" x14ac:dyDescent="0.35">
      <c r="A62" s="2" t="s">
        <v>10</v>
      </c>
      <c r="B62" s="4">
        <v>649216.39396051108</v>
      </c>
    </row>
    <row r="63" spans="1:7" x14ac:dyDescent="0.35">
      <c r="A63" s="2" t="s">
        <v>23</v>
      </c>
      <c r="B63" s="4">
        <v>798772.27341695968</v>
      </c>
      <c r="F63" s="1" t="s">
        <v>42</v>
      </c>
      <c r="G63" t="s">
        <v>47</v>
      </c>
    </row>
    <row r="64" spans="1:7" x14ac:dyDescent="0.35">
      <c r="A64" s="2" t="s">
        <v>34</v>
      </c>
      <c r="B64" s="4">
        <v>799843.25642649108</v>
      </c>
      <c r="F64" s="2" t="s">
        <v>56</v>
      </c>
      <c r="G64">
        <v>313485</v>
      </c>
    </row>
    <row r="65" spans="1:7" x14ac:dyDescent="0.35">
      <c r="A65" s="2" t="s">
        <v>18</v>
      </c>
      <c r="B65" s="4">
        <v>800382.28245654225</v>
      </c>
      <c r="F65" s="2" t="s">
        <v>57</v>
      </c>
      <c r="G65">
        <v>293861</v>
      </c>
    </row>
    <row r="66" spans="1:7" x14ac:dyDescent="0.35">
      <c r="A66" s="2" t="s">
        <v>33</v>
      </c>
      <c r="B66" s="4">
        <v>798343.92536458001</v>
      </c>
      <c r="F66" s="2" t="s">
        <v>58</v>
      </c>
      <c r="G66">
        <v>251417</v>
      </c>
    </row>
    <row r="67" spans="1:7" x14ac:dyDescent="0.35">
      <c r="A67" s="2" t="s">
        <v>26</v>
      </c>
      <c r="B67" s="4">
        <v>802347.39391377848</v>
      </c>
      <c r="F67" s="2" t="s">
        <v>59</v>
      </c>
      <c r="G67">
        <v>126834</v>
      </c>
    </row>
    <row r="68" spans="1:7" x14ac:dyDescent="0.35">
      <c r="A68" s="2" t="s">
        <v>20</v>
      </c>
      <c r="B68" s="4">
        <v>798296.45612176089</v>
      </c>
      <c r="F68" s="2" t="s">
        <v>60</v>
      </c>
      <c r="G68">
        <v>62978</v>
      </c>
    </row>
    <row r="69" spans="1:7" x14ac:dyDescent="0.35">
      <c r="A69" s="2" t="s">
        <v>17</v>
      </c>
      <c r="B69" s="4">
        <v>649845.31424204796</v>
      </c>
      <c r="F69" s="2" t="s">
        <v>43</v>
      </c>
      <c r="G69">
        <v>1048575</v>
      </c>
    </row>
    <row r="70" spans="1:7" x14ac:dyDescent="0.35">
      <c r="A70" s="2" t="s">
        <v>5</v>
      </c>
      <c r="B70" s="4">
        <v>700158.47187210992</v>
      </c>
    </row>
    <row r="71" spans="1:7" x14ac:dyDescent="0.35">
      <c r="A71" s="2" t="s">
        <v>1</v>
      </c>
      <c r="B71" s="4">
        <v>1198176.5780797561</v>
      </c>
    </row>
    <row r="72" spans="1:7" x14ac:dyDescent="0.35">
      <c r="A72" s="2" t="s">
        <v>30</v>
      </c>
      <c r="B72" s="4">
        <v>798936.55585117615</v>
      </c>
    </row>
    <row r="73" spans="1:7" x14ac:dyDescent="0.35">
      <c r="A73" s="2" t="s">
        <v>32</v>
      </c>
      <c r="B73" s="4">
        <v>799996.52802792878</v>
      </c>
    </row>
    <row r="74" spans="1:7" x14ac:dyDescent="0.35">
      <c r="A74" s="2" t="s">
        <v>43</v>
      </c>
      <c r="B74" s="4">
        <v>896887.17770688795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7FE4A-FA6A-4CD8-B0DE-73227E18E06C}">
  <sheetPr codeName="Sheet2"/>
  <dimension ref="A1"/>
  <sheetViews>
    <sheetView zoomScale="80" zoomScaleNormal="80" zoomScaleSheetLayoutView="80" workbookViewId="0">
      <selection activeCell="AB22" sqref="AB22"/>
    </sheetView>
  </sheetViews>
  <sheetFormatPr defaultRowHeight="14.5" x14ac:dyDescent="0.35"/>
  <cols>
    <col min="1" max="16384" width="8.7265625" style="6"/>
  </cols>
  <sheetData/>
  <printOptions gridLines="1"/>
  <pageMargins left="0.7" right="0.7" top="0.75" bottom="0.75" header="0.3" footer="0.3"/>
  <pageSetup scale="35" orientation="portrait" r:id="rId1"/>
  <colBreaks count="1" manualBreakCount="1">
    <brk id="29" max="32" man="1"/>
  </colBreaks>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EC8220-06A6-429B-B726-25E7501DB3C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Pivot Table</vt:lpstr>
      <vt:lpstr>Pivot table 2</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Nikhil K</dc:creator>
  <cp:lastModifiedBy>Nikhil K</cp:lastModifiedBy>
  <dcterms:created xsi:type="dcterms:W3CDTF">2025-08-28T17:35:19Z</dcterms:created>
  <dcterms:modified xsi:type="dcterms:W3CDTF">2026-03-22T07:39:51Z</dcterms:modified>
</cp:coreProperties>
</file>